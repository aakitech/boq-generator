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User\boq-generator\inspo_docs\"/>
    </mc:Choice>
  </mc:AlternateContent>
  <xr:revisionPtr revIDLastSave="0" documentId="13_ncr:1_{EB44F96C-841E-4D45-BD75-AD3C13AB5D21}" xr6:coauthVersionLast="47" xr6:coauthVersionMax="47" xr10:uidLastSave="{00000000-0000-0000-0000-000000000000}"/>
  <bookViews>
    <workbookView xWindow="-110" yWindow="-110" windowWidth="19420" windowHeight="11020" xr2:uid="{00000000-000D-0000-FFFF-FFFF00000000}"/>
  </bookViews>
  <sheets>
    <sheet name="BOQ DRIP &amp; FILTER STATION" sheetId="1" r:id="rId1"/>
  </sheets>
  <definedNames>
    <definedName name="_xlnm.Print_Area" localSheetId="0">'BOQ DRIP &amp; FILTER STATION'!$A$1:$F$1086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50" i="1" l="1"/>
  <c r="F1062" i="1" s="1"/>
  <c r="F1048" i="1"/>
  <c r="F1044" i="1"/>
  <c r="F1038" i="1"/>
  <c r="F1034" i="1"/>
  <c r="F1032" i="1"/>
  <c r="F1030" i="1"/>
  <c r="F1028" i="1"/>
  <c r="F1026" i="1"/>
  <c r="F1024" i="1"/>
  <c r="F1022" i="1"/>
  <c r="F1020" i="1"/>
  <c r="F1018" i="1"/>
  <c r="F1016" i="1"/>
  <c r="F1010" i="1"/>
  <c r="F1060" i="1" s="1"/>
  <c r="F1008" i="1"/>
  <c r="F1004" i="1"/>
  <c r="F1000" i="1"/>
  <c r="F998" i="1"/>
  <c r="F996" i="1"/>
  <c r="F990" i="1"/>
  <c r="F986" i="1"/>
  <c r="F984" i="1"/>
  <c r="F980" i="1"/>
  <c r="F972" i="1"/>
  <c r="F1058" i="1" s="1"/>
  <c r="F970" i="1"/>
  <c r="F966" i="1"/>
  <c r="F962" i="1"/>
  <c r="F958" i="1"/>
  <c r="F954" i="1"/>
  <c r="F950" i="1"/>
  <c r="F939" i="1"/>
  <c r="F1082" i="1" s="1"/>
  <c r="F938" i="1"/>
  <c r="F937" i="1"/>
  <c r="F933" i="1"/>
  <c r="F931" i="1"/>
  <c r="F929" i="1"/>
  <c r="F927" i="1"/>
  <c r="F925"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914" i="1" s="1"/>
  <c r="F1080" i="1" s="1"/>
  <c r="F888" i="1"/>
  <c r="F887" i="1"/>
  <c r="F886" i="1"/>
  <c r="F885" i="1"/>
  <c r="F884" i="1"/>
  <c r="F874" i="1"/>
  <c r="F873" i="1"/>
  <c r="F871" i="1"/>
  <c r="F869" i="1"/>
  <c r="F867" i="1"/>
  <c r="F865" i="1"/>
  <c r="F863" i="1"/>
  <c r="F861" i="1"/>
  <c r="F859" i="1"/>
  <c r="F857" i="1"/>
  <c r="F855" i="1"/>
  <c r="F853" i="1"/>
  <c r="F851" i="1"/>
  <c r="D849" i="1"/>
  <c r="F849" i="1" s="1"/>
  <c r="F847" i="1"/>
  <c r="F845" i="1"/>
  <c r="F843" i="1"/>
  <c r="F841" i="1"/>
  <c r="F839" i="1"/>
  <c r="F837" i="1"/>
  <c r="F835" i="1"/>
  <c r="F833" i="1"/>
  <c r="F831" i="1"/>
  <c r="F794" i="1"/>
  <c r="F792" i="1"/>
  <c r="F788" i="1"/>
  <c r="F796" i="1" s="1"/>
  <c r="F820" i="1" s="1"/>
  <c r="F778" i="1"/>
  <c r="F774" i="1"/>
  <c r="F770" i="1"/>
  <c r="F780" i="1" s="1"/>
  <c r="F818" i="1" s="1"/>
  <c r="F768" i="1"/>
  <c r="F766" i="1"/>
  <c r="F756" i="1"/>
  <c r="F754" i="1"/>
  <c r="F750" i="1"/>
  <c r="F744" i="1"/>
  <c r="F740" i="1"/>
  <c r="F738" i="1"/>
  <c r="F736" i="1"/>
  <c r="F734" i="1"/>
  <c r="F732" i="1"/>
  <c r="F728" i="1"/>
  <c r="F726" i="1"/>
  <c r="F721" i="1"/>
  <c r="F758" i="1" s="1"/>
  <c r="F816" i="1" s="1"/>
  <c r="F701" i="1"/>
  <c r="F699" i="1"/>
  <c r="F697" i="1"/>
  <c r="F695" i="1"/>
  <c r="F693" i="1"/>
  <c r="F689" i="1"/>
  <c r="F687" i="1"/>
  <c r="F685" i="1"/>
  <c r="F683" i="1"/>
  <c r="F681" i="1"/>
  <c r="F679" i="1"/>
  <c r="F673" i="1"/>
  <c r="F671" i="1"/>
  <c r="F669" i="1"/>
  <c r="F667" i="1"/>
  <c r="F665" i="1"/>
  <c r="F661" i="1"/>
  <c r="F659" i="1"/>
  <c r="F657" i="1"/>
  <c r="F655" i="1"/>
  <c r="F653" i="1"/>
  <c r="F651" i="1"/>
  <c r="F649" i="1"/>
  <c r="F645" i="1"/>
  <c r="F703" i="1" s="1"/>
  <c r="F814" i="1" s="1"/>
  <c r="F643" i="1"/>
  <c r="F633" i="1"/>
  <c r="F631" i="1"/>
  <c r="F627" i="1"/>
  <c r="F625" i="1"/>
  <c r="F635" i="1" s="1"/>
  <c r="F812" i="1" s="1"/>
  <c r="F615" i="1"/>
  <c r="F613" i="1"/>
  <c r="F611" i="1"/>
  <c r="F605" i="1"/>
  <c r="F601" i="1"/>
  <c r="F597" i="1"/>
  <c r="F595" i="1"/>
  <c r="F593" i="1"/>
  <c r="F617" i="1" s="1"/>
  <c r="F810" i="1" s="1"/>
  <c r="F587" i="1"/>
  <c r="F808" i="1" s="1"/>
  <c r="F585" i="1"/>
  <c r="F577" i="1"/>
  <c r="F573" i="1"/>
  <c r="F571" i="1"/>
  <c r="F567" i="1"/>
  <c r="F565" i="1"/>
  <c r="F561" i="1"/>
  <c r="F559" i="1"/>
  <c r="F579" i="1" s="1"/>
  <c r="F806" i="1" s="1"/>
  <c r="F550" i="1"/>
  <c r="F546" i="1"/>
  <c r="F542" i="1"/>
  <c r="F536" i="1"/>
  <c r="F553" i="1" s="1"/>
  <c r="F804" i="1" s="1"/>
  <c r="F526" i="1"/>
  <c r="D526" i="1"/>
  <c r="F522" i="1"/>
  <c r="F518" i="1"/>
  <c r="F514" i="1"/>
  <c r="F508" i="1"/>
  <c r="F504" i="1"/>
  <c r="F498" i="1"/>
  <c r="F494" i="1"/>
  <c r="F490" i="1"/>
  <c r="F484" i="1"/>
  <c r="F480" i="1"/>
  <c r="F476" i="1"/>
  <c r="F472" i="1"/>
  <c r="F468" i="1"/>
  <c r="F464" i="1"/>
  <c r="F528" i="1" s="1"/>
  <c r="F802" i="1" s="1"/>
  <c r="F462" i="1"/>
  <c r="F460" i="1"/>
  <c r="F458" i="1"/>
  <c r="F414" i="1"/>
  <c r="F412" i="1"/>
  <c r="F410" i="1"/>
  <c r="F416" i="1" s="1"/>
  <c r="F441" i="1" s="1"/>
  <c r="F408" i="1"/>
  <c r="F406" i="1"/>
  <c r="F398" i="1"/>
  <c r="F396" i="1"/>
  <c r="F392" i="1"/>
  <c r="F390" i="1"/>
  <c r="F382" i="1"/>
  <c r="F380" i="1"/>
  <c r="F400" i="1" s="1"/>
  <c r="F439" i="1" s="1"/>
  <c r="F370" i="1"/>
  <c r="F368" i="1"/>
  <c r="F362" i="1"/>
  <c r="F356" i="1"/>
  <c r="F354" i="1"/>
  <c r="F348" i="1"/>
  <c r="F342" i="1"/>
  <c r="F340" i="1"/>
  <c r="F338" i="1"/>
  <c r="F336" i="1"/>
  <c r="F334" i="1"/>
  <c r="F332" i="1"/>
  <c r="F328" i="1"/>
  <c r="F372" i="1" s="1"/>
  <c r="F437" i="1" s="1"/>
  <c r="F309" i="1"/>
  <c r="F303" i="1"/>
  <c r="F301" i="1"/>
  <c r="F297" i="1"/>
  <c r="F295" i="1"/>
  <c r="F293" i="1"/>
  <c r="F291" i="1"/>
  <c r="F289" i="1"/>
  <c r="F287" i="1"/>
  <c r="F285" i="1"/>
  <c r="F283" i="1"/>
  <c r="F281" i="1"/>
  <c r="F279" i="1"/>
  <c r="F277" i="1"/>
  <c r="F275" i="1"/>
  <c r="F271" i="1"/>
  <c r="F311" i="1" s="1"/>
  <c r="F435" i="1" s="1"/>
  <c r="F267" i="1"/>
  <c r="F257" i="1"/>
  <c r="F251" i="1"/>
  <c r="F247" i="1"/>
  <c r="F245" i="1"/>
  <c r="F243" i="1"/>
  <c r="F241" i="1"/>
  <c r="F239" i="1"/>
  <c r="F237" i="1"/>
  <c r="F235" i="1"/>
  <c r="F233" i="1"/>
  <c r="F231" i="1"/>
  <c r="F229" i="1"/>
  <c r="F259" i="1" s="1"/>
  <c r="F433" i="1" s="1"/>
  <c r="F223" i="1"/>
  <c r="F431" i="1" s="1"/>
  <c r="F221" i="1"/>
  <c r="F217" i="1"/>
  <c r="F213" i="1"/>
  <c r="F211" i="1"/>
  <c r="F203" i="1"/>
  <c r="F199" i="1"/>
  <c r="F195" i="1"/>
  <c r="F193" i="1"/>
  <c r="F205" i="1" s="1"/>
  <c r="F429" i="1" s="1"/>
  <c r="F184" i="1"/>
  <c r="F178" i="1"/>
  <c r="F174" i="1"/>
  <c r="F168" i="1"/>
  <c r="F187" i="1" s="1"/>
  <c r="F427" i="1" s="1"/>
  <c r="F158" i="1"/>
  <c r="F154" i="1"/>
  <c r="F150" i="1"/>
  <c r="F146" i="1"/>
  <c r="F140" i="1"/>
  <c r="F138" i="1"/>
  <c r="F132" i="1"/>
  <c r="F130" i="1"/>
  <c r="F126" i="1"/>
  <c r="F124" i="1"/>
  <c r="F118" i="1"/>
  <c r="F116" i="1"/>
  <c r="F114" i="1"/>
  <c r="F112" i="1"/>
  <c r="F110" i="1"/>
  <c r="F108" i="1"/>
  <c r="F106" i="1"/>
  <c r="F102" i="1"/>
  <c r="F96" i="1"/>
  <c r="F94" i="1"/>
  <c r="F90" i="1"/>
  <c r="F88" i="1"/>
  <c r="F86" i="1"/>
  <c r="F84" i="1"/>
  <c r="F82" i="1"/>
  <c r="F80" i="1"/>
  <c r="F78" i="1"/>
  <c r="F76" i="1"/>
  <c r="F74" i="1"/>
  <c r="F72" i="1"/>
  <c r="F70" i="1"/>
  <c r="F68" i="1"/>
  <c r="F160" i="1" s="1"/>
  <c r="F425" i="1" s="1"/>
  <c r="F443" i="1" s="1"/>
  <c r="F1074" i="1" s="1"/>
  <c r="F63" i="1"/>
  <c r="F52" i="1"/>
  <c r="F1072" i="1" s="1"/>
  <c r="F50" i="1"/>
  <c r="F48" i="1"/>
  <c r="F875" i="1" l="1"/>
  <c r="F1078" i="1" s="1"/>
  <c r="F822" i="1"/>
  <c r="F1076" i="1" s="1"/>
  <c r="F1065" i="1"/>
  <c r="F1084" i="1" s="1"/>
  <c r="F1086" i="1" s="1"/>
</calcChain>
</file>

<file path=xl/sharedStrings.xml><?xml version="1.0" encoding="utf-8"?>
<sst xmlns="http://schemas.openxmlformats.org/spreadsheetml/2006/main" count="1157" uniqueCount="534">
  <si>
    <t xml:space="preserve">BILL OF QUANTITIES </t>
  </si>
  <si>
    <t>FOR</t>
  </si>
  <si>
    <t>PROPOSED DRIP AND FILTER STATION (PHASE 4)</t>
  </si>
  <si>
    <t xml:space="preserve">AT </t>
  </si>
  <si>
    <t>NAKAMBALA</t>
  </si>
  <si>
    <t xml:space="preserve">ITEM </t>
  </si>
  <si>
    <t>DESCRIPTION</t>
  </si>
  <si>
    <t>UNIT</t>
  </si>
  <si>
    <t>QTY</t>
  </si>
  <si>
    <t>RATE</t>
  </si>
  <si>
    <t>AMOUNT</t>
  </si>
  <si>
    <t xml:space="preserve">General Preambles </t>
  </si>
  <si>
    <t>The following specifications must be taken into consideration in cases were they may not be indicated:</t>
  </si>
  <si>
    <t>i</t>
  </si>
  <si>
    <t>A contractor shall farmilirise himself with the works as no claims, due to fairlure to understand the scope of works shall be accepted</t>
  </si>
  <si>
    <t>ii</t>
  </si>
  <si>
    <t>Contractor shall allow in his rates the price of materials, transportation, plant, equipment, personel and any other services required during execution of works</t>
  </si>
  <si>
    <t>iii</t>
  </si>
  <si>
    <t xml:space="preserve">All rates must include the supply and installation of new items/materials </t>
  </si>
  <si>
    <t>iv</t>
  </si>
  <si>
    <t xml:space="preserve">Where there is a discrepancy between the drawings and BOQ, consult the Engineer or other authorised client's site representative </t>
  </si>
  <si>
    <t>v</t>
  </si>
  <si>
    <t xml:space="preserve">The net quantities in the BOQ shall not be used for the purpose of ordering materials. All measurments must be confirmed prior to to procurment of materials </t>
  </si>
  <si>
    <t>vi</t>
  </si>
  <si>
    <t>Samples of materials to be availed to the Engineer for approval prior to procurment; floor and wall tiles, doors, mortice lockes, bulb holders, etc.</t>
  </si>
  <si>
    <t>vii</t>
  </si>
  <si>
    <t xml:space="preserve">Contractor shall provide signs and safety barrier tapes to be erected at site and to ensure good houskeeping at all times </t>
  </si>
  <si>
    <t>viii</t>
  </si>
  <si>
    <t xml:space="preserve">The contractor shall provide all required PPE i.e helments, gloves, safety boots, eye goggles,dust mus, work suite, etc. for his workmanship </t>
  </si>
  <si>
    <t>ix</t>
  </si>
  <si>
    <t xml:space="preserve">The contractor will be held responsible for any loss or damage of existing works </t>
  </si>
  <si>
    <t>x</t>
  </si>
  <si>
    <t xml:space="preserve">During the execution of works, site security will be the responsibility of the contractor </t>
  </si>
  <si>
    <t>xi</t>
  </si>
  <si>
    <t xml:space="preserve">Before handover, the contractor must clean up and dump the waste/debris to disgnated dump site; provisionally 8 km away </t>
  </si>
  <si>
    <t>xii</t>
  </si>
  <si>
    <t xml:space="preserve">The contractor is to make good disturbed works by all trades before handover </t>
  </si>
  <si>
    <t>xiii</t>
  </si>
  <si>
    <t>Unless indicated , a Contractor shall supply all materials, labour and equipment</t>
  </si>
  <si>
    <t>xiv</t>
  </si>
  <si>
    <t>The Contractor is to carfully read and understand the scope/BOQ as any cost that will arise from failure to understand the scope will fall on the contractor</t>
  </si>
  <si>
    <t>BILL No. 1</t>
  </si>
  <si>
    <t>PRELIMINARY AND GENERAL ITEMS</t>
  </si>
  <si>
    <t xml:space="preserve">PRELIMINARY AND GENERAL ITEMS </t>
  </si>
  <si>
    <t>A</t>
  </si>
  <si>
    <t xml:space="preserve">Allow for mobilization labour, materials and equipment </t>
  </si>
  <si>
    <t>Item</t>
  </si>
  <si>
    <t>B</t>
  </si>
  <si>
    <t xml:space="preserve">Allow for demobilisation,cleaning the site and dispose of rubble </t>
  </si>
  <si>
    <t>PRELIMINARY AND GENERAL ITEMS - TOTAL TO SUMMARY</t>
  </si>
  <si>
    <t>ZMW</t>
  </si>
  <si>
    <t>BILL No. 2</t>
  </si>
  <si>
    <t>DRIP AND FILTER STATION BUILDING</t>
  </si>
  <si>
    <t>MEASURED WORKS</t>
  </si>
  <si>
    <t>SUBSTRUCTURE</t>
  </si>
  <si>
    <t>Preambles</t>
  </si>
  <si>
    <t>(i)</t>
  </si>
  <si>
    <t>Scope of Work in the substructure section includes work in all trades in foundations upto the top of the ground floor slab.</t>
  </si>
  <si>
    <t>Site Preparations</t>
  </si>
  <si>
    <t>Clear site of works of shrubs, bush and small trees not exceeding 600 mm girth, grub up roots and burn debris</t>
  </si>
  <si>
    <t>m²</t>
  </si>
  <si>
    <t>Excavate oversite average 150 mm deep to remove top soil soil and wheel, spread and level on site where directed</t>
  </si>
  <si>
    <t>C</t>
  </si>
  <si>
    <t>Excavate in "pickable material" as described for foundation trenches not exceeding 1.50m deep starting at stripped level,get out and deposit in temporary spoil heaps on site where directed</t>
  </si>
  <si>
    <t>m³</t>
  </si>
  <si>
    <t>D</t>
  </si>
  <si>
    <t>Ditto, for column bases trenches not exceeding 1.5mm deep ditto.</t>
  </si>
  <si>
    <t>E</t>
  </si>
  <si>
    <t>Ditto, for service pits trenches not exceeding 1.5mm deep ditto.</t>
  </si>
  <si>
    <t>F</t>
  </si>
  <si>
    <t>Extra-over excavations for excavating in rock as described</t>
  </si>
  <si>
    <t>G</t>
  </si>
  <si>
    <t>Compacting and levelling of trench bottom</t>
  </si>
  <si>
    <t>H</t>
  </si>
  <si>
    <t>Treat the surfaces of hardcore filling, sides and bottoms of excavations with approved environmentally friendly antproofing treatment as described</t>
  </si>
  <si>
    <t>I</t>
  </si>
  <si>
    <t>Destroy termites nests within site of works , take out and destroy queens, impregnate holes and tunnels with insecticide and fill voids with approved material</t>
  </si>
  <si>
    <t>J</t>
  </si>
  <si>
    <t>Allow for keeping excavations free from general water, by pumping or any other suitable means necessary and for cleaning the bottoms of the excavations prior to concreting</t>
  </si>
  <si>
    <t>K</t>
  </si>
  <si>
    <t>Backfilling in layers not exceeding 100mm thick around foundations with selected materials arising from excavations</t>
  </si>
  <si>
    <t>L</t>
  </si>
  <si>
    <t>Load and transport surplus excavated materials to an authorized disposal site.</t>
  </si>
  <si>
    <t xml:space="preserve">Hardcore and the like filling </t>
  </si>
  <si>
    <t>M</t>
  </si>
  <si>
    <t>Filling under floors with approved imported laterite, well and compacted in maximum 150mm layers to make up levels</t>
  </si>
  <si>
    <t>N</t>
  </si>
  <si>
    <t xml:space="preserve">500 Gauge polythene sheet as damp proof membrane laid of walls etc. (measured net-no allowance made for laps) laterite bed, including dressing to sinkings, across tops  horizontal with 300mm end and side laps laid on </t>
  </si>
  <si>
    <t>Concrete</t>
  </si>
  <si>
    <t>Plain in-situ concrete (Grade 15) as described</t>
  </si>
  <si>
    <t>O</t>
  </si>
  <si>
    <t xml:space="preserve">50mm Blinding in bases </t>
  </si>
  <si>
    <t>Vibrated Reinforced in-situ Concrete (Grade 30) as described</t>
  </si>
  <si>
    <t>P</t>
  </si>
  <si>
    <t>In foundation in trenches</t>
  </si>
  <si>
    <t>Q</t>
  </si>
  <si>
    <t>In bases to columns</t>
  </si>
  <si>
    <t>R</t>
  </si>
  <si>
    <t>In stub columns</t>
  </si>
  <si>
    <t>S</t>
  </si>
  <si>
    <t xml:space="preserve">In 150mm thick service duct drains bottom and walls </t>
  </si>
  <si>
    <t>T</t>
  </si>
  <si>
    <t>200mm Thick surface bed laid level on damp proof membrane (measured separately)</t>
  </si>
  <si>
    <t>U</t>
  </si>
  <si>
    <t>Ditto in Ramp</t>
  </si>
  <si>
    <t>V</t>
  </si>
  <si>
    <t>Ditto in container plinths</t>
  </si>
  <si>
    <t>Reinforcement</t>
  </si>
  <si>
    <t>Steel Reinforcement steel cut to lengths,bent, cranked, hooked, tying wire ,distance blocks and ordinary spacers</t>
  </si>
  <si>
    <t>W</t>
  </si>
  <si>
    <t>Y12mm diameter bars and above in bases and columns</t>
  </si>
  <si>
    <t>Kg</t>
  </si>
  <si>
    <t>X</t>
  </si>
  <si>
    <t>R10mm diameter link bars in stub columns</t>
  </si>
  <si>
    <t>Cornforce or other equal and approved steel fabric including all necessary bends, tying wire and distance blocks</t>
  </si>
  <si>
    <t>Y</t>
  </si>
  <si>
    <t>Mesh type 257 (2.57Kg/m²) lapped a minimum of 300mm at and ends and tied with 16 gauge annealed wire embedded in surface beds (measured net-no allowance made for laps)</t>
  </si>
  <si>
    <t>Z</t>
  </si>
  <si>
    <t>Ditto in strip foundation</t>
  </si>
  <si>
    <t>Formwork</t>
  </si>
  <si>
    <t>Sawn formwork as described</t>
  </si>
  <si>
    <t>AA</t>
  </si>
  <si>
    <t>To vertical sides of stub columns</t>
  </si>
  <si>
    <t>AB</t>
  </si>
  <si>
    <t>To edges of surface beds not exceeding 100mm wide</t>
  </si>
  <si>
    <t>m</t>
  </si>
  <si>
    <t>BRICKWORK AND BLOCKWORK</t>
  </si>
  <si>
    <t>Hollow concrete blockwork in cement mortar as described with and including cores filled with weak concrete (Grade 15)</t>
  </si>
  <si>
    <t>AC</t>
  </si>
  <si>
    <t xml:space="preserve">200mm Walls in foundations </t>
  </si>
  <si>
    <t>Sundries</t>
  </si>
  <si>
    <t>AD</t>
  </si>
  <si>
    <t>Brickforce or other equal and approved brick reinforcement 200mm walls built into horizontal joints of blockwork</t>
  </si>
  <si>
    <t>One Coat External Plastering as described</t>
  </si>
  <si>
    <t>AE</t>
  </si>
  <si>
    <t>On concrete, brickwork or block plinth walls</t>
  </si>
  <si>
    <t>Prepare and Apply Three Coats or Black Bitumastic paint as described on the following surfaces</t>
  </si>
  <si>
    <t>AF</t>
  </si>
  <si>
    <t>Plastered plinth walls externally</t>
  </si>
  <si>
    <t>SUBSTRUCTURE TOTAL CARRIED TO COLLECTION SUMMARY</t>
  </si>
  <si>
    <t>SUPERSTRUCTURE WORK</t>
  </si>
  <si>
    <t>CONCRETE WORKS</t>
  </si>
  <si>
    <t>Vibrated Reinforced in-situ concrete (Grade 30) as described</t>
  </si>
  <si>
    <t>In beams and lintels</t>
  </si>
  <si>
    <t xml:space="preserve">   m³</t>
  </si>
  <si>
    <t>Mild Steel Rod Reinforcement as described including bends, hooks, tying wire, distance blocks and ordinary spacers</t>
  </si>
  <si>
    <t>8mm Diameter rods in beams</t>
  </si>
  <si>
    <t xml:space="preserve">   Kg</t>
  </si>
  <si>
    <t>High tensile steel bar reinforcement as described including bends, hookes, tying wire, distance blocks and ordinary spacers</t>
  </si>
  <si>
    <t>12mm and above Diameter bars in beams/lintels and steps</t>
  </si>
  <si>
    <t>To sides and soffits of horizontal beams and lintels</t>
  </si>
  <si>
    <t>CONCRETE WORK TOTAL CARRIED TO COLLECTION SUMMARY</t>
  </si>
  <si>
    <t>Blockwork in Hollow Concrete Blocks in composition mortar as described</t>
  </si>
  <si>
    <t>200mm Wall</t>
  </si>
  <si>
    <t>Ditto in beam filling</t>
  </si>
  <si>
    <t>"Brickforce" or other equal and approved brick reinforcement to suit 150mm walls built into horizontal joints to blockwork</t>
  </si>
  <si>
    <t>Damp Proof Course</t>
  </si>
  <si>
    <t>Three-ply bituminous felt damp-proof courses 150mm Wide, laid horizontal and bedded in cement and sand (1:3) mortar as described, with minimum 150mm laps (measured net-no allowance made for laps)</t>
  </si>
  <si>
    <t>BLOCKWORK TOTAL CARRIED TO COLLECTION SUMMARY</t>
  </si>
  <si>
    <t>ROOFING</t>
  </si>
  <si>
    <t>IBR colour coated "Chromadek green colour" roof sheeting  0.5mm gauge or other equal approved profiled steel sheeting fixed in  strict accordance with roof manufactures instruction.</t>
  </si>
  <si>
    <t xml:space="preserve">   A</t>
  </si>
  <si>
    <t xml:space="preserve">Roof covering fixed to steel purlins </t>
  </si>
  <si>
    <t>Ridge capping</t>
  </si>
  <si>
    <t>Translucent Roofing</t>
  </si>
  <si>
    <t>Supply and install 3.0m translucent roofing sheets of IBR profile and fixed in position as per site instructions</t>
  </si>
  <si>
    <t>Sisalation Roofing Foil</t>
  </si>
  <si>
    <t>Supply and install Sisalation 405 light grammage, durable, double sided reflective foil laminate incorporating layers of aluminium foil, high strength kraft paper and reinforcing scrim bonded together with a binder</t>
  </si>
  <si>
    <t>ROOFING WORK TOTAL CARRIED TO COLLECTION SUMMARY</t>
  </si>
  <si>
    <t>STRUCTURAL STEEL WORK</t>
  </si>
  <si>
    <t>The following in structural steel shop welded and site,  bolted painted one coat red lead oxide primer before erection and including touching up primer and adding one coat red oxide primer after erection all as per details shown on the engineers drawings</t>
  </si>
  <si>
    <t>254 x 146 x 37kg/m UB in columns</t>
  </si>
  <si>
    <t>254 x 146 x 37kg/m UB in rafters and hunches</t>
  </si>
  <si>
    <t>89mm diameter x 3mm thick tie beams</t>
  </si>
  <si>
    <t>125 x 65 x 20 x 2.0 cold formed lipped channel (CFLC) purlins not exceeding 10kg</t>
  </si>
  <si>
    <t>60 x 60 x 6mm RSA in truss, bracing and cross bracing not exceeding 10kg per metre</t>
  </si>
  <si>
    <t>100 x 65 x 6mm Angle cleat</t>
  </si>
  <si>
    <t>12mm thick End plates</t>
  </si>
  <si>
    <t>16mm thick base plates</t>
  </si>
  <si>
    <t xml:space="preserve">M16 bollts, grade 4.6 complete with nuts and washers </t>
  </si>
  <si>
    <t>No.</t>
  </si>
  <si>
    <t xml:space="preserve">M20 bollts, grade 4.6 complete with nuts and washers </t>
  </si>
  <si>
    <t>Anchors</t>
  </si>
  <si>
    <t>M20 Holding down bolts, 600mm long, grade 4.6 complete  with nuts and 350 x 120 x 12mm thick washer plates</t>
  </si>
  <si>
    <t>Painting</t>
  </si>
  <si>
    <t>Touch up priming coat, prepare and apply one undercoat and two hardglos finishing coats as described internally or externally on the following metalwork</t>
  </si>
  <si>
    <t>Surfaces of steelwork</t>
  </si>
  <si>
    <t>STRUCTURAL STEEL WORKS TO COLLECTION SUMMARY</t>
  </si>
  <si>
    <t>METAL WORK</t>
  </si>
  <si>
    <t>Steel  Door</t>
  </si>
  <si>
    <t>Supply and fix complete the following purpose made 1.0mm gauge pressed metal 1.5M single rebated door frames and building in as described</t>
  </si>
  <si>
    <t xml:space="preserve">Pressed metal 2M double rebated profile fixed metal standrad substation door frame complete with pair of double skin steel substation type doors size 2000 x 2950mm overall complete with fixed louvre panels and ironmongery. </t>
  </si>
  <si>
    <t>Steel Windows</t>
  </si>
  <si>
    <t>Window size 2000mm x 1000mm overall in steel frame complete with expanded wire and complete with furniture and fixing into position</t>
  </si>
  <si>
    <t>Platform, Staircase and Balastrading</t>
  </si>
  <si>
    <t>The following in handrailing and balustrading to 1No. Staircase in mild steel with welded connections ground smooth and primed before delivery to site.</t>
  </si>
  <si>
    <t>25NB pipe in horizontal handrailing with ends welded to vertical members (balusters)</t>
  </si>
  <si>
    <t>25NB ditto but sloping</t>
  </si>
  <si>
    <t>25NB pipe in middle horizontal railing with ends welded to vertical members (balusters)</t>
  </si>
  <si>
    <t>25NB bend</t>
  </si>
  <si>
    <t>25NB raking elbow</t>
  </si>
  <si>
    <t xml:space="preserve">50 x 50 x 5mm in tread support, bracing and cross bracing </t>
  </si>
  <si>
    <t>60 x 60 x 6mm RSA in vertical baluster</t>
  </si>
  <si>
    <t>100 x 50mm Channel in support frame, bracing and cross bracing not exceeding 10kg per metre</t>
  </si>
  <si>
    <t>150 x 150 x 6mm thick end plate with and including 2No. Holes for 10mm diameter rawl bolts (measured separately)</t>
  </si>
  <si>
    <t>10mm diameter rawl bolts</t>
  </si>
  <si>
    <t>Mantis Grating</t>
  </si>
  <si>
    <t>Supply and install mantis grating in stair treads and platiform</t>
  </si>
  <si>
    <t>Ditto on pipe duct</t>
  </si>
  <si>
    <t>Metal works with girth less than 100m diameter</t>
  </si>
  <si>
    <t>METAL WORKS TO COLLECTION SUMMARY</t>
  </si>
  <si>
    <t>ELECTRICAL INSTALLATIONS</t>
  </si>
  <si>
    <t>Distribution Boards and the like</t>
  </si>
  <si>
    <t xml:space="preserve">Supply, install and set to work the following Surface Mounted distribution boards, as EML or the like </t>
  </si>
  <si>
    <t>Distribution Board (SMDB1) of approved size and manufacture comprising:-</t>
  </si>
  <si>
    <t>2 No. 80A 125 Ka TP MCB</t>
  </si>
  <si>
    <t>1 No. 80A TP</t>
  </si>
  <si>
    <t>1 No. 32A</t>
  </si>
  <si>
    <t xml:space="preserve">2 No. 16A </t>
  </si>
  <si>
    <t>1 No. 20A</t>
  </si>
  <si>
    <t>2 No. Earth Bars</t>
  </si>
  <si>
    <t>Supply ditto</t>
  </si>
  <si>
    <t>Cables</t>
  </si>
  <si>
    <t>4 Core x 16mm² PVC/SWA/PVC + 16mm² ECC cable and drawing in sleeve or duct</t>
  </si>
  <si>
    <t xml:space="preserve">1.5 sq. mm Cu/PVC cables Red </t>
  </si>
  <si>
    <t>Roll</t>
  </si>
  <si>
    <t xml:space="preserve">1.5 sq. mm Cu/PVC cables Black </t>
  </si>
  <si>
    <t xml:space="preserve">2.5 sq. mm Cu/PVC cables Green </t>
  </si>
  <si>
    <t xml:space="preserve">2.5 sq. mm Cu/PVC cables Red </t>
  </si>
  <si>
    <t xml:space="preserve">2.5 sq. mm Cu/PVC cables Black </t>
  </si>
  <si>
    <t>Light Supply Points</t>
  </si>
  <si>
    <t>Supply, install and set to work the following light points including all surface mounted and cast-in Trays, trunking, conduits, conduit fittings, cable and cable connections to connect the lamp holder at the light point to the distribution board (switches and fittings measured separately)</t>
  </si>
  <si>
    <t>6 No. Ceiling mounted light point on one way wall switch</t>
  </si>
  <si>
    <t xml:space="preserve">   No.</t>
  </si>
  <si>
    <t>Switches and the like</t>
  </si>
  <si>
    <t>Supply, install and set to work the following switches as manufactured by “MK”, 'LEGEND" or similar approved including all conduit, conduit, fittings, cable, cable connections and boxes as necessary</t>
  </si>
  <si>
    <t>10A One gang, two-way wall switch</t>
  </si>
  <si>
    <t>Photocell complete with 25A by pass switch</t>
  </si>
  <si>
    <t>Power Points</t>
  </si>
  <si>
    <t>Supply, install and set to work the following power points including conduits, conduit fittings, cable and cable connections to connect the power point to the distribution board as manufactured by MK or LEGRAND' other equal and approved</t>
  </si>
  <si>
    <t>13 Amp double switch socket outlet wall mounted</t>
  </si>
  <si>
    <t>Light Fittings and the like</t>
  </si>
  <si>
    <t>Supply and fix the following lighting, power and other fittings in accordance with Manufacturer’s</t>
  </si>
  <si>
    <t>1 x 250W LED pendulant fitting ceiling mounted</t>
  </si>
  <si>
    <t>1 x 18WL, 1200mm Fluorenscent wall surface mounted LED Light</t>
  </si>
  <si>
    <t>ELECTRICAL INSTALLATION WORK TOTAL CARRIED TO COLLECTION SUMMARY</t>
  </si>
  <si>
    <t>FINISHING AND DECORATION</t>
  </si>
  <si>
    <t>In-Situ Finishings</t>
  </si>
  <si>
    <t>Cement and sand floors and paving as described</t>
  </si>
  <si>
    <t>40mm Paving  laid level on concrete bed by power floating and including Epoxy coating finish and the like to surface</t>
  </si>
  <si>
    <t>100 x 25mm skirting with square top edge and cove at junction with paving</t>
  </si>
  <si>
    <t>Wall Finishings</t>
  </si>
  <si>
    <t>13mm Thick internal plastering as described with steel float finish</t>
  </si>
  <si>
    <t>To concrete, brickwork or blockwork walls</t>
  </si>
  <si>
    <t>To reveal or return not exceeding 100mm wide</t>
  </si>
  <si>
    <t>13mm Thick exterrnal plastering as described with wood float finish</t>
  </si>
  <si>
    <t>FINISHING WORK TOTAL CARRIED TO COLLECTION SUMMARY</t>
  </si>
  <si>
    <t>PAINTING WORKS</t>
  </si>
  <si>
    <t>Prepare and apply One coat plaster primer and Two coats Aclylic on the following surfaces</t>
  </si>
  <si>
    <t>Plastered walls, internally</t>
  </si>
  <si>
    <t>Plastered walls, externally</t>
  </si>
  <si>
    <t xml:space="preserve">Prime, prepare and apply one undercoat and two coats finishing gloss paint, to approval as described internally or externally on the following metalwork Surfaces </t>
  </si>
  <si>
    <t>Metal door surfaces</t>
  </si>
  <si>
    <t>Expanded mesh windows measured flat both sides</t>
  </si>
  <si>
    <t>PAINTING WORK TOTAL CARRIED TO COLLECTION SUMMARY</t>
  </si>
  <si>
    <t>SUMMARY</t>
  </si>
  <si>
    <t>CONCRETE WORK</t>
  </si>
  <si>
    <t>BLOCKWORK</t>
  </si>
  <si>
    <t>ROOFING WORK</t>
  </si>
  <si>
    <t>ELECTRICAL WORK</t>
  </si>
  <si>
    <t>FINISHING WORK</t>
  </si>
  <si>
    <t>PAINTING WORK</t>
  </si>
  <si>
    <t>BILL NO 2: CARRIED TO GENERAL SUMMARY</t>
  </si>
  <si>
    <t>BILL No. 3</t>
  </si>
  <si>
    <t>TOILET AND SHOWER</t>
  </si>
  <si>
    <t>Excavation and Earthworks</t>
  </si>
  <si>
    <t>Excavate in "Pickable Material" as described for foundation trench starting at reduced level not exceeding 1.50m deep and get out.</t>
  </si>
  <si>
    <t>Extra over excavations in "Pickable Material" irrespective of depth for breaking up rock as described</t>
  </si>
  <si>
    <t>Return, fill in and well ram surplus excavated material around foundations as described</t>
  </si>
  <si>
    <t>Dispose of surplus excavated material by removing from site to the desgnated dumping site</t>
  </si>
  <si>
    <t>Anti-termite treatment</t>
  </si>
  <si>
    <t>Treat the surface of filling, sides and bottoms of excavations with ant-proofing treatment as described</t>
  </si>
  <si>
    <t>Disposal of water</t>
  </si>
  <si>
    <t>Include for keeping excavations free from rain, surface and percolating water, mud, and silt by pumping, bailing or other means and for clearing the bottom of all excavations prior to pouring concrete</t>
  </si>
  <si>
    <t>Compaction of Surfaces</t>
  </si>
  <si>
    <t>Compaction of ground in surfaces trenches etc, including scarifying for a depth of 150mm, breaking down oversize material, adding suitable material where necessary and compacting to 95% Mod AASHTO Density</t>
  </si>
  <si>
    <t>Hardcore and the like filling</t>
  </si>
  <si>
    <t>Filing under floors with approved imported laterite, well rammed  and compacted in maximum 150mm layers to make up  to 98% Mod AASHTO to levels receive concrete surface bed</t>
  </si>
  <si>
    <t>Waterproofing Membrane</t>
  </si>
  <si>
    <t>1000 Gauge polythene sheet as damp proof membrane laid horizontal with 300mm end and side laps laid on laterite bed, including dressing to sinkings, across tops of walls etc.  (measured net-no allowance made for laps)</t>
  </si>
  <si>
    <t>Concrete Work</t>
  </si>
  <si>
    <t>Plain in-situ concrete (Grade 10) as described</t>
  </si>
  <si>
    <t>50mm thick in blinding</t>
  </si>
  <si>
    <t>Plain in-situ concrete (Grade 25) as described</t>
  </si>
  <si>
    <t>In foundation in trenches (200mm thick)</t>
  </si>
  <si>
    <t>Vibrated Reinforced in-situ Concrete (Grade 25) as described</t>
  </si>
  <si>
    <t>100mm thick surface bed laid level on damp proof membrane (measured separately)</t>
  </si>
  <si>
    <t>Reinfoncement</t>
  </si>
  <si>
    <t>"Conforce" or other equal steel fabric reinforcement including all necessary bends, tying wire and distance blocks</t>
  </si>
  <si>
    <t>Mesh type 257 (2.57 kg/m²) lapped a minimum of 300mm at sides and ends tied with 16 gauge annealed wire embedded in horizontal surface bed (measured net-no allowance made for laps)</t>
  </si>
  <si>
    <t>To edges of surface beds not exceeding 200mm wide</t>
  </si>
  <si>
    <t>Brickwork and Blockwork</t>
  </si>
  <si>
    <t>150mm thick blockwall in foundation (800mm high)</t>
  </si>
  <si>
    <t>"Brickforce" or other equal and approved brick reinforcement to  suit one  brick walls and building into horizontal joints of brickwork</t>
  </si>
  <si>
    <t>Vibrated Reinforced in-situ concrete (Grade 25) as Described</t>
  </si>
  <si>
    <t>In ring beam/lintels</t>
  </si>
  <si>
    <t>Mild Steel Rod and high tensile steel bar Reinforcement as described including bends, hooks, tying wire, distance blocks and ordinary spacers</t>
  </si>
  <si>
    <t>8mm Diametre and above</t>
  </si>
  <si>
    <t>To sides and soffits of beams/lintels</t>
  </si>
  <si>
    <t>Precast Concrete (Grade 25) as described</t>
  </si>
  <si>
    <t>Supply and installation of 300 x 100mm concrete cills</t>
  </si>
  <si>
    <t>Blockwork in Hollow Concrete Blocks in cement mortar (1:3) as described</t>
  </si>
  <si>
    <t xml:space="preserve">100mm Walls </t>
  </si>
  <si>
    <t xml:space="preserve">150mm Walls </t>
  </si>
  <si>
    <t>Three-ply bituminous felt damp-proof courses</t>
  </si>
  <si>
    <t>100mm Wide laid horizontally and bedded in cement and sand (1:3) mortar as described, with minimum 100mm laps (measured net-no allowance made for laps)</t>
  </si>
  <si>
    <t>150mm wide, ditto</t>
  </si>
  <si>
    <t>"Brickforce" reinforcement to suit 100mm walls built into horizontal joints of brickwork</t>
  </si>
  <si>
    <t>Ditto, 150mm wide, ditto</t>
  </si>
  <si>
    <t>Air-Vent</t>
  </si>
  <si>
    <t>Pair of 200 x 200mm air brick with insect proof guage backing</t>
  </si>
  <si>
    <t>No</t>
  </si>
  <si>
    <t>IBR colour coated "Chromadek green colour" roof sheeting  0.5mm gauge or other equal approved profiled steel sheeting fixed in strict accordance with roof manufactures instruction.</t>
  </si>
  <si>
    <t>Roof covering fixed to steel purlins (measured separately)</t>
  </si>
  <si>
    <t>ROOFING WORK TOTAL CARRIED TO GENERAL SUMMARY</t>
  </si>
  <si>
    <t>CARPENTRY WORKS</t>
  </si>
  <si>
    <t>Roof trusses</t>
  </si>
  <si>
    <t>150mm x 50mm treated sawn wood timber in joists, rafters and king post of trusses</t>
  </si>
  <si>
    <t xml:space="preserve">75mm x 75mm treated timber in purlins </t>
  </si>
  <si>
    <t>100mm x 75mm treated sawn wood timber tied onto the building with GI wire as wall plate</t>
  </si>
  <si>
    <t xml:space="preserve">Quality Rosewood or Mukwa Hard door  as described </t>
  </si>
  <si>
    <t>45mm door size 825 x 1960mm and hanging on butts to metal door frame (measured separately)</t>
  </si>
  <si>
    <t xml:space="preserve">Internal quality core flush commercial door as described </t>
  </si>
  <si>
    <t>45mm door size 725 x 1960mm and hanging on butts to metal door frame (measured separately)</t>
  </si>
  <si>
    <t>Ironmongery</t>
  </si>
  <si>
    <t>Supply and fix the following approved ironmongery complete with martching screws to timber or alumnium door frames</t>
  </si>
  <si>
    <t>Three lever mortice lock</t>
  </si>
  <si>
    <t>Toilet/shower indicator bolt</t>
  </si>
  <si>
    <t>Hat and coat hook</t>
  </si>
  <si>
    <t>CARPENTRY, JOINERY AND IRONMONGERY WORK TOTAL CARRIED TO COLLECTION SUMMARY</t>
  </si>
  <si>
    <t xml:space="preserve">Supply, fabricate and install steel windows sections complete with iron mongery and fixed in position in walls. </t>
  </si>
  <si>
    <t>Window size 600 x 600mm overall</t>
  </si>
  <si>
    <t>Window size 1200 x 600mm overall</t>
  </si>
  <si>
    <t>Door frames</t>
  </si>
  <si>
    <t>Supply and install 1.0mm steel door frame size 800 x 2000mm and fixing in block wall</t>
  </si>
  <si>
    <t>Supply and install 1.5mm steel door frame size 900 x 2000mm and fixing in block wall</t>
  </si>
  <si>
    <t>METAL WORK TOTAL CARRIED TO COLLECTION SUMMARY</t>
  </si>
  <si>
    <t>PLUMBING AND ENGINEERING INSTALLATIONS</t>
  </si>
  <si>
    <t xml:space="preserve">Wate Pipe </t>
  </si>
  <si>
    <t>uPVC waste pipes and fittings, jointing and fixing in accordance  with the manufacturer’s recommendations</t>
  </si>
  <si>
    <t xml:space="preserve">40mm Diameter waste pipe and fixing to wall </t>
  </si>
  <si>
    <t>110mm Diameter soil pipe fixed to brickwork with approved clips</t>
  </si>
  <si>
    <t>Extra over uPVC pipes for the following fittings</t>
  </si>
  <si>
    <t>40mm Diameter bend with cleaning eye</t>
  </si>
  <si>
    <t>40mm Diameter double branch</t>
  </si>
  <si>
    <t>40mm Diameter bend</t>
  </si>
  <si>
    <t>110mm Diameter Tee with access plate</t>
  </si>
  <si>
    <t>110mm Diameter plain bend</t>
  </si>
  <si>
    <t>110mm Diameter plain single branch</t>
  </si>
  <si>
    <t>110mm Diameter pan connector and joint to w.c. outlet</t>
  </si>
  <si>
    <t>Sanitary Appliances, Fittings and Ancillaries</t>
  </si>
  <si>
    <t>Glazed Vitreous "VAAL POTTERIES" low level w.c suite comprising  pan with 'P' trap matching white plastic double flap seat, flush valve complete with accessories and fittings, and screw pan to floor</t>
  </si>
  <si>
    <t>Glazed vitrous china "VAAL POTTERIES" wash hand basin, fixed and supported in vanity slab/granite inclusive complete with tap mixer "COBRA" or other equal approved</t>
  </si>
  <si>
    <t>Heavy duty shower tray including accessories to approval</t>
  </si>
  <si>
    <t xml:space="preserve">Stainless steel lockable toilet roll holder plugged to blockwork wall, to approval </t>
  </si>
  <si>
    <t>Shower mixer complete with pipe and shower rose</t>
  </si>
  <si>
    <t>Hot and Cold Water Installation</t>
  </si>
  <si>
    <t>GI cold and hot water pipes and fittings with caulked and screwed joints in the running lengths</t>
  </si>
  <si>
    <t>15mm Diameter pipe and fixed to blockwork with approved clips</t>
  </si>
  <si>
    <t xml:space="preserve">   m</t>
  </si>
  <si>
    <t>20mm Diameter ditto</t>
  </si>
  <si>
    <t>15mm Diameter bend</t>
  </si>
  <si>
    <t>20mm Diameter bend</t>
  </si>
  <si>
    <t>15mm Equal tee</t>
  </si>
  <si>
    <t>20 - 15mm Reducer</t>
  </si>
  <si>
    <t>Brasswork, Valves and Cocks as described</t>
  </si>
  <si>
    <t>15mm Diameter Copper connector, 300mm girth bent as required with joint to union of fitting and other galvanised mild steel pipe</t>
  </si>
  <si>
    <t>Flexable connector, 300mm girth bent as required with joint to union of fitting and other galvanised mild steel pipe</t>
  </si>
  <si>
    <t>15mm Diameter angle valve</t>
  </si>
  <si>
    <t>20mm Diameter isolation valve</t>
  </si>
  <si>
    <t>Pillar tap for wash hand basin</t>
  </si>
  <si>
    <t>PLUMBING AND ENGINEERING INSTALLATION WORK TOTAL CARRIED TO COLLECTION SUMMARY</t>
  </si>
  <si>
    <t>(PROVISSIONALS)</t>
  </si>
  <si>
    <t>DISTRIBUTION BOARDS AND THE LIKE</t>
  </si>
  <si>
    <t>Main Distribution Board (MDB 4Way TPN) of approved size and manufacture comprising:-</t>
  </si>
  <si>
    <t>1 No. 60A TP</t>
  </si>
  <si>
    <t xml:space="preserve">1 No. 20A </t>
  </si>
  <si>
    <t>1No. 10A</t>
  </si>
  <si>
    <t>1 No. TP spare ways</t>
  </si>
  <si>
    <t>2 No. SP spare ways</t>
  </si>
  <si>
    <t>1 No. Earth Bars</t>
  </si>
  <si>
    <t xml:space="preserve">Surface mounted, plugged and screwed to walls and connecting to supply cables (measured separately) </t>
  </si>
  <si>
    <t>LIGHT SUPPLY POINTS</t>
  </si>
  <si>
    <t>Supply, install and set to work the following light points including all surface mounted and cast-in , conduits, conduit fittings, cable and cable connections to connect the lamp holder at the light point to the distribution board (switches and fittings measured separately)</t>
  </si>
  <si>
    <t>1 No. Ceiling mounted light point on one way wall switch</t>
  </si>
  <si>
    <t>3 No.  Ceiling mounted ditto</t>
  </si>
  <si>
    <t>2.5 sq. mm Cu/PVC cables Red for General Socket Outlets</t>
  </si>
  <si>
    <t>2.5 sq. mm Cu/PVC cables Black for General Socket Outlets</t>
  </si>
  <si>
    <t>2.5 sq. mm Cu/PVC cables Green for General Socket Outlets</t>
  </si>
  <si>
    <t>1.5 sq. mm Cu/PVC cables Red for General Socket Outlets</t>
  </si>
  <si>
    <t>1.5 sq. mm Cu/PVC cables Black for General Socket Outlets</t>
  </si>
  <si>
    <t>10a Two-gang, One way wall switch</t>
  </si>
  <si>
    <t>Supply, install, connect and set to work the following power points " Tropical" "Legrand" or equal approved</t>
  </si>
  <si>
    <t>13Amp double switch socket outlet wall mounted</t>
  </si>
  <si>
    <t>Light Fittings</t>
  </si>
  <si>
    <t>1 x 18W, 1200mm Fluorenscent ceiling surface mounted LED Light</t>
  </si>
  <si>
    <t>1 x WL, 1200mm weather proof Fluorenscent wall surface mounted LED Light</t>
  </si>
  <si>
    <t>FLOOR AND WALL FINISHINGS</t>
  </si>
  <si>
    <t>Beds and Backings</t>
  </si>
  <si>
    <t>Cement and sand (1:3) screed as described</t>
  </si>
  <si>
    <t>30mm Screed laid level on concrete to receive floor tiles</t>
  </si>
  <si>
    <t>Supply and fix new 600 x 600 x 10mm  Thick non slip full bodied porcelain tiles  (Grade A) including 100mm skirting and aluminium edge trimmer, fixed with approved adhesive to Manufacturer's specifications and pointed with grouting laid level on screeded bed (measured separately)</t>
  </si>
  <si>
    <t>Prepare floor surface for shower cubicle and install approved Mosaic floor tile</t>
  </si>
  <si>
    <t>15mm thick Internal and extenal plastering as described with steel float finish and wood float finish on surfaces to receive wall tiling</t>
  </si>
  <si>
    <t>To concrete, brickwork or blockwork walls and reveals</t>
  </si>
  <si>
    <t>Wall tiling</t>
  </si>
  <si>
    <t>Prepare wall surface and fix 200 xv300 x 6mm thick glazed ceremic wall tiles including 100/150mm dado of approved mosaic tiles all round, fixed with approved tile adhesive and pointed with coloured grout</t>
  </si>
  <si>
    <t>FLOOR AND WALL FINISHING TOTAL CARRIED TO COLLECTION SUMMARY</t>
  </si>
  <si>
    <t>Painting and Decorating</t>
  </si>
  <si>
    <t>Prepare and apply "Plascon paint" One coat plaster primer and Two coats Wall &amp; all paint on the following surfaces</t>
  </si>
  <si>
    <t>External and Internal plastered walls</t>
  </si>
  <si>
    <t>Prepare and Apply two coats of gloss paint to or approved paint as described on the following surfaces</t>
  </si>
  <si>
    <t>Metal door frame</t>
  </si>
  <si>
    <t>Flush doors</t>
  </si>
  <si>
    <t>TOILET AND SHOWER COLLECTION SUMMARY</t>
  </si>
  <si>
    <t>BLOCK WORKS</t>
  </si>
  <si>
    <t>CARPENTRY</t>
  </si>
  <si>
    <t>METAL WORKS</t>
  </si>
  <si>
    <t>PLUMBING WORKS</t>
  </si>
  <si>
    <t>ELECTRICAL WORKS</t>
  </si>
  <si>
    <t>FINISHING WORKS</t>
  </si>
  <si>
    <t>BILL No. 3: CARRIED TO GENERAL SUMMARY</t>
  </si>
  <si>
    <t>BILL No.4</t>
  </si>
  <si>
    <t>SEPTIC TANK</t>
  </si>
  <si>
    <t>Excavate in "pickable material" starting at ground level for septic tank not exceeding 1.50mm deep and get out</t>
  </si>
  <si>
    <t>Ditto over 1.50m not exceeding 3.00 metres deep</t>
  </si>
  <si>
    <t>Dispose of surplus excavated material by removing  from site</t>
  </si>
  <si>
    <t>Backfilling around septic tank</t>
  </si>
  <si>
    <t>200mm Thick plain in-situ concrete (Grade 25) bottom  to manhole</t>
  </si>
  <si>
    <t>Plain in-situ concrete (Grade 15) as described 150mm (Average) benching size 600 x 600mm in bottom of manhole finished as described with 10mm thick cement mortar (1:3)</t>
  </si>
  <si>
    <t>Reinforced in-situ concrete (Grade 25) as described 200mm  base to septic tank</t>
  </si>
  <si>
    <t xml:space="preserve">Ditto in 150mm suspended septic tank cover slab </t>
  </si>
  <si>
    <t>10mm Diameter high yield mild steel reinforcement including bends, hooks, distance blocks and ordinary spacers</t>
  </si>
  <si>
    <t>Layer of "Conforce 86" or other equal and approved steel fabric reinforcement, properly lapped, tied with annealed tying wire and embedding in tank floor slab (measured net - no allowance made for laps)</t>
  </si>
  <si>
    <t>Sawn formwork to soffit of suspended cover slab and withdrawing from confined space</t>
  </si>
  <si>
    <t>Ditto to edge of suspended cover slab not exceeding 100mm high</t>
  </si>
  <si>
    <t>Ditto to form 50 x 50mm rebate</t>
  </si>
  <si>
    <t>200mm Thick hollow concrete blockwork in cement mortar as  described with cores filled with weak concrete</t>
  </si>
  <si>
    <t>Build in end of 150mm diameter pipe into one brick sides ofseptic tank and make good render one side</t>
  </si>
  <si>
    <t>Brickforce or other approved brick reinforcement and building into horizontal joints of brickwork</t>
  </si>
  <si>
    <t>150mm Diameter uPVC pipe T-junction including building one end into brickwork</t>
  </si>
  <si>
    <t>450 x 600mm Single seal heavy duty manhole cover and frame to B.S. 497 including bedding frame in rebate of concrete slab and haunching around in cement mortar and sealing cover in grease and sand</t>
  </si>
  <si>
    <t>150mm Diameter half round section uPVC straight main channel 600mm long and bedding and pointing in cement mortar as described to falls in bottom of manhole including dressing to drain pipe</t>
  </si>
  <si>
    <t>One coat rendering as described to brickwork walls internally or externally, trowelled hard and smooth</t>
  </si>
  <si>
    <t>Allow  for  construction of manholes including exacavation and backfilling  complete with steel manhole covers and drain pipe connection</t>
  </si>
  <si>
    <t>BILL No. 4: CARRIED TO GENERAL SUMMARY</t>
  </si>
  <si>
    <t>BILL No.5</t>
  </si>
  <si>
    <t>SOAKAWAY</t>
  </si>
  <si>
    <t>SOAKWAY</t>
  </si>
  <si>
    <t>Excavate in "pickable material" starting at ground level forsoakaway not exceeding 1.50mm deep and get out</t>
  </si>
  <si>
    <t>Ditto exceeding 1.50m but not exceeding 3.0m deep</t>
  </si>
  <si>
    <t>Dispose of surplus excavated material away from site</t>
  </si>
  <si>
    <t>Backfilling excavated to top of soakaway</t>
  </si>
  <si>
    <t>Rockfilling with 80 - 200mm diameter natural rocks in soakaway</t>
  </si>
  <si>
    <t>Reinforced in-situ concrete (Grade 25) as described 200mm in soakaway base</t>
  </si>
  <si>
    <t>Precast concrete (Grade 25) as described 150mm cover slab with and including three layers of "conforce" steel fabric reinforcement or other approved complete with rebated aperture having clear opening size 610 x 457mm including bedding in cement mortar</t>
  </si>
  <si>
    <t>One brick wall in concrete bricks in cement mortar as described</t>
  </si>
  <si>
    <t>Ditto, built honey comb</t>
  </si>
  <si>
    <t>Build in end of 100mm diameter pipe into one brick side of  soakawy and make good render one side</t>
  </si>
  <si>
    <t>Layer of polyprolene wooven sheet sheet covering to top of rock fill</t>
  </si>
  <si>
    <t>150mm Diameter uPVC  drain pipe laid and jointed in trenches as described</t>
  </si>
  <si>
    <t>150mm Diameter uPVC pipe with perforated holes in its running length and laid in soakaway</t>
  </si>
  <si>
    <t>BILL No. 5: CARRIED TO GENERAL SUMMARY</t>
  </si>
  <si>
    <t>BILL No.6</t>
  </si>
  <si>
    <t>SOIL DRAINAGE</t>
  </si>
  <si>
    <t>Pipework in trenches</t>
  </si>
  <si>
    <t>Excavate in "pickable material" as described for trenches not exceeding 1.50m total depth and average 600mm deep for pipes not exceeding 200mm diameter including planking and strutting, backfilling with selected excavated material deposited and compacted in layers and disposing of  surplus spoil by spreading on site</t>
  </si>
  <si>
    <t>Extra over excavations irrespective of depth for breaking up rock as described (PROVISIONAL)</t>
  </si>
  <si>
    <t>Plain in-situ concrete (Grade 20) as described in 150mm thick bed and haunching to 200mm diameter pipes in trenches including all necessary formwork</t>
  </si>
  <si>
    <t>150mm Diameter heavy duty PVC drain pipe laid and jointed in trenches as described</t>
  </si>
  <si>
    <t xml:space="preserve"> 200mm Diameter heavy duty PVC drain pipe sleeve ditto</t>
  </si>
  <si>
    <t>GULLEYS</t>
  </si>
  <si>
    <t>150 x 100mm Cast iron gulley trap complete with cast iron grating and asbestos cement 100mms 'P' trap and joining to drain and including setting  in andsurrounding with plain-in-situ concrete (Grade 15) as  carrying up concrete to form 75 x 100mm kerb dish described and  surround  and including all necessary excavation part backfilling disposal  of surplus excavated material and formwork</t>
  </si>
  <si>
    <t>BILL No 6: CARRIED TO GENERAL SUMMARY</t>
  </si>
  <si>
    <t>BILL No.7</t>
  </si>
  <si>
    <t>TANK STAND</t>
  </si>
  <si>
    <t>Excavation Works</t>
  </si>
  <si>
    <t>Excavate for raft foundation trenches/pit average depth 600mm starting at stripped level,get out and deposit in temporary spoil heaps on site where directed</t>
  </si>
  <si>
    <t>Preparation of embarkement walls and ground to make up levels</t>
  </si>
  <si>
    <t>Scarify and compact reduced ground level to minimum 93% MODASHTOO including all necessary watering as per engineers specification</t>
  </si>
  <si>
    <t>Disposal of Non reusable Material</t>
  </si>
  <si>
    <t>Re-dig from spoil heap and remove off-site.</t>
  </si>
  <si>
    <t>Imported Filling to make up levels, including hauling from supplier/pit, haulage to site and compacting to engineers approval</t>
  </si>
  <si>
    <t>Imported laterite filling to make up levels, well compacted  in layers of 150mm and watered to 95% A.A.S.H.T.O</t>
  </si>
  <si>
    <t>Disposal of Water</t>
  </si>
  <si>
    <t>Planking and strutting</t>
  </si>
  <si>
    <t>Include for supporting the surfaces of all excavations with and including all necessary planking and strutting as directed</t>
  </si>
  <si>
    <t>SITE CLEARANCE AND PREPARATION TO COLLECTION SUMMARY</t>
  </si>
  <si>
    <t>Blinding</t>
  </si>
  <si>
    <t>The following in Vibrated reinforced in-situ concrete class 30 by approved reputable concrete supplier or equal to engineers specification</t>
  </si>
  <si>
    <t xml:space="preserve">In bases </t>
  </si>
  <si>
    <t>In stub comlumns</t>
  </si>
  <si>
    <t>To verical sides of stub columns</t>
  </si>
  <si>
    <t>Reinforcements</t>
  </si>
  <si>
    <t>kg</t>
  </si>
  <si>
    <t>Y12 single layer Steel reinforcement spaced at 200c/c to base  joined with tying wire. In bases</t>
  </si>
  <si>
    <t>Y20 main bars Steel reinforcement spaced at 200c/c in stub columns</t>
  </si>
  <si>
    <t>Quality Control</t>
  </si>
  <si>
    <t>Allow for carrying out concrete cube tests in 3 No. Per test to engineers approval and satisfaction</t>
  </si>
  <si>
    <t>CONCRETE WORKS TO COLLECTION SUMMARY</t>
  </si>
  <si>
    <t>70 x 70 x 6mm RSA in columns not exceeding 10kg per metre</t>
  </si>
  <si>
    <t>70 x 70 x 6mm RSA in truss, bracing and cross bracing not exceeding 10kg per metre</t>
  </si>
  <si>
    <t>70 x 70 x 6mm RSA in platform support frame not exceeding 10kg per metre</t>
  </si>
  <si>
    <t>50 x 8mm flat bars in cat ladder</t>
  </si>
  <si>
    <t>6mm thick mild steel plate in platform</t>
  </si>
  <si>
    <t>6mm thick mild steel plate in cleats</t>
  </si>
  <si>
    <t>Supply and install mantis grating in platform</t>
  </si>
  <si>
    <t xml:space="preserve">M12 bollts, grade 4.6 complete with nuts and washers </t>
  </si>
  <si>
    <t>Water Tank</t>
  </si>
  <si>
    <t xml:space="preserve">Supply and install 5000litres ROTO or equal and approved plastic water tank </t>
  </si>
  <si>
    <t xml:space="preserve">No. </t>
  </si>
  <si>
    <t>COLLECTION SUMMARY</t>
  </si>
  <si>
    <t>ITEM NO</t>
  </si>
  <si>
    <t>SITE CLEARANCE AND PREPARATION</t>
  </si>
  <si>
    <t>DRIP AND FILTER STATION PHASE 4</t>
  </si>
  <si>
    <t>GENERAL SUMMARY</t>
  </si>
  <si>
    <t xml:space="preserve">BILL No. 1 PRELIMINARY AND GENERAL ITEMS </t>
  </si>
  <si>
    <t>BILL No. 2 DRIP AND FILTER STATION BUILDING</t>
  </si>
  <si>
    <t>BILL No. 3 TOILET AND SHOWER</t>
  </si>
  <si>
    <t>BILL No. 4 SEPTIC TANK</t>
  </si>
  <si>
    <t>BILL No. 5 SOAKWAY</t>
  </si>
  <si>
    <t>BILL No. 6 SOIL DRAINAGE</t>
  </si>
  <si>
    <t>BILL No. 7 TANK STAND</t>
  </si>
  <si>
    <t>TOTAL      (VAT EXCLUSIVE)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</si>
</sst>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4" fontId="0" fillId="0" borderId="0" xfId="0" applyNumberFormat="1"/>
    <xf numFmtId="0" fontId="1" fillId="0" borderId="0" xfId="0" applyFont="1"/>
    <xf numFmtId="0" fontId="1" fillId="0" borderId="0" xfId="0" applyFont="1" applyAlignment="1">
      <alignment horizontal="center"/>
    </xf>
    <xf numFmtId="0" fontId="1" fillId="0" borderId="0" xfId="0" applyFont="1"/>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86"/>
  <sheetViews>
    <sheetView tabSelected="1" workbookViewId="0">
      <selection activeCell="D641" sqref="D641"/>
    </sheetView>
  </sheetViews>
  <sheetFormatPr defaultRowHeight="15.5" x14ac:dyDescent="0.35"/>
  <cols>
    <col min="2" max="2" width="20.5" customWidth="1"/>
    <col min="4" max="4" width="33" customWidth="1"/>
  </cols>
  <sheetData>
    <row r="1" spans="1:6" s="3" customFormat="1" x14ac:dyDescent="0.35"/>
    <row r="2" spans="1:6" s="3" customFormat="1" x14ac:dyDescent="0.35">
      <c r="B2" s="6" t="s">
        <v>0</v>
      </c>
      <c r="C2" s="6"/>
      <c r="D2" s="6"/>
      <c r="E2" s="6"/>
    </row>
    <row r="3" spans="1:6" s="3" customFormat="1" x14ac:dyDescent="0.35">
      <c r="B3" s="6" t="s">
        <v>1</v>
      </c>
      <c r="C3" s="6"/>
      <c r="D3" s="6"/>
      <c r="E3" s="6"/>
    </row>
    <row r="4" spans="1:6" s="3" customFormat="1" x14ac:dyDescent="0.35">
      <c r="B4" s="6" t="s">
        <v>2</v>
      </c>
      <c r="C4" s="6"/>
      <c r="D4" s="6"/>
      <c r="E4" s="6"/>
    </row>
    <row r="5" spans="1:6" s="3" customFormat="1" x14ac:dyDescent="0.35">
      <c r="B5" s="6" t="s">
        <v>3</v>
      </c>
      <c r="C5" s="6"/>
      <c r="D5" s="6"/>
      <c r="E5" s="6"/>
    </row>
    <row r="6" spans="1:6" s="3" customFormat="1" x14ac:dyDescent="0.35">
      <c r="B6" s="6" t="s">
        <v>4</v>
      </c>
      <c r="C6" s="6"/>
      <c r="D6" s="6"/>
      <c r="E6" s="6"/>
    </row>
    <row r="8" spans="1:6" s="2" customFormat="1" x14ac:dyDescent="0.35">
      <c r="A8" s="2" t="s">
        <v>5</v>
      </c>
      <c r="B8" s="2" t="s">
        <v>6</v>
      </c>
      <c r="C8" s="2" t="s">
        <v>7</v>
      </c>
      <c r="D8" s="2" t="s">
        <v>8</v>
      </c>
      <c r="E8" s="2" t="s">
        <v>9</v>
      </c>
      <c r="F8" s="2" t="s">
        <v>10</v>
      </c>
    </row>
    <row r="10" spans="1:6" x14ac:dyDescent="0.35">
      <c r="B10" s="2" t="s">
        <v>11</v>
      </c>
    </row>
    <row r="12" spans="1:6" s="2" customFormat="1" x14ac:dyDescent="0.35">
      <c r="B12" s="2" t="s">
        <v>12</v>
      </c>
    </row>
    <row r="14" spans="1:6" x14ac:dyDescent="0.35">
      <c r="A14" t="s">
        <v>13</v>
      </c>
      <c r="B14" t="s">
        <v>14</v>
      </c>
    </row>
    <row r="16" spans="1:6" x14ac:dyDescent="0.35">
      <c r="A16" t="s">
        <v>15</v>
      </c>
      <c r="B16" t="s">
        <v>16</v>
      </c>
    </row>
    <row r="18" spans="1:2" x14ac:dyDescent="0.35">
      <c r="A18" t="s">
        <v>17</v>
      </c>
      <c r="B18" t="s">
        <v>18</v>
      </c>
    </row>
    <row r="20" spans="1:2" x14ac:dyDescent="0.35">
      <c r="A20" t="s">
        <v>19</v>
      </c>
      <c r="B20" t="s">
        <v>20</v>
      </c>
    </row>
    <row r="22" spans="1:2" x14ac:dyDescent="0.35">
      <c r="A22" t="s">
        <v>21</v>
      </c>
      <c r="B22" t="s">
        <v>22</v>
      </c>
    </row>
    <row r="24" spans="1:2" x14ac:dyDescent="0.35">
      <c r="A24" t="s">
        <v>23</v>
      </c>
      <c r="B24" t="s">
        <v>24</v>
      </c>
    </row>
    <row r="26" spans="1:2" x14ac:dyDescent="0.35">
      <c r="A26" t="s">
        <v>25</v>
      </c>
      <c r="B26" t="s">
        <v>26</v>
      </c>
    </row>
    <row r="28" spans="1:2" x14ac:dyDescent="0.35">
      <c r="A28" t="s">
        <v>27</v>
      </c>
      <c r="B28" t="s">
        <v>28</v>
      </c>
    </row>
    <row r="30" spans="1:2" x14ac:dyDescent="0.35">
      <c r="A30" t="s">
        <v>29</v>
      </c>
      <c r="B30" t="s">
        <v>30</v>
      </c>
    </row>
    <row r="32" spans="1:2" x14ac:dyDescent="0.35">
      <c r="A32" t="s">
        <v>31</v>
      </c>
      <c r="B32" t="s">
        <v>32</v>
      </c>
    </row>
    <row r="34" spans="1:6" x14ac:dyDescent="0.35">
      <c r="A34" t="s">
        <v>33</v>
      </c>
      <c r="B34" t="s">
        <v>34</v>
      </c>
    </row>
    <row r="36" spans="1:6" x14ac:dyDescent="0.35">
      <c r="A36" t="s">
        <v>35</v>
      </c>
      <c r="B36" t="s">
        <v>36</v>
      </c>
    </row>
    <row r="38" spans="1:6" x14ac:dyDescent="0.35">
      <c r="A38" t="s">
        <v>37</v>
      </c>
      <c r="B38" t="s">
        <v>38</v>
      </c>
    </row>
    <row r="40" spans="1:6" x14ac:dyDescent="0.35">
      <c r="A40" t="s">
        <v>39</v>
      </c>
      <c r="B40" t="s">
        <v>40</v>
      </c>
    </row>
    <row r="41" spans="1:6" x14ac:dyDescent="0.35">
      <c r="A41" s="3"/>
      <c r="B41" s="3"/>
      <c r="C41" s="3"/>
      <c r="D41" s="3"/>
      <c r="E41" s="3"/>
    </row>
    <row r="42" spans="1:6" x14ac:dyDescent="0.35">
      <c r="A42" s="3"/>
      <c r="B42" s="6" t="s">
        <v>41</v>
      </c>
      <c r="C42" s="6"/>
      <c r="D42" s="6"/>
      <c r="E42" s="6"/>
    </row>
    <row r="43" spans="1:6" x14ac:dyDescent="0.35">
      <c r="A43" s="3"/>
      <c r="B43" s="6" t="s">
        <v>42</v>
      </c>
      <c r="C43" s="6"/>
      <c r="D43" s="6"/>
      <c r="E43" s="6"/>
    </row>
    <row r="44" spans="1:6" s="2" customFormat="1" x14ac:dyDescent="0.35">
      <c r="A44" s="2" t="s">
        <v>5</v>
      </c>
      <c r="B44" s="2" t="s">
        <v>6</v>
      </c>
      <c r="C44" s="2" t="s">
        <v>7</v>
      </c>
      <c r="D44" s="2" t="s">
        <v>8</v>
      </c>
      <c r="E44" s="2" t="s">
        <v>9</v>
      </c>
      <c r="F44" s="2" t="s">
        <v>10</v>
      </c>
    </row>
    <row r="46" spans="1:6" s="2" customFormat="1" x14ac:dyDescent="0.35">
      <c r="B46" s="2" t="s">
        <v>43</v>
      </c>
    </row>
    <row r="48" spans="1:6" x14ac:dyDescent="0.35">
      <c r="A48" t="s">
        <v>44</v>
      </c>
      <c r="B48" t="s">
        <v>45</v>
      </c>
      <c r="C48" t="s">
        <v>46</v>
      </c>
      <c r="D48">
        <v>1</v>
      </c>
      <c r="F48">
        <f>D48*E48</f>
        <v>0</v>
      </c>
    </row>
    <row r="50" spans="1:6" x14ac:dyDescent="0.35">
      <c r="A50" t="s">
        <v>47</v>
      </c>
      <c r="B50" t="s">
        <v>48</v>
      </c>
      <c r="C50" t="s">
        <v>46</v>
      </c>
      <c r="D50">
        <v>1</v>
      </c>
      <c r="F50">
        <f>D50*E50</f>
        <v>0</v>
      </c>
    </row>
    <row r="52" spans="1:6" x14ac:dyDescent="0.35">
      <c r="B52" t="s">
        <v>49</v>
      </c>
      <c r="E52" t="s">
        <v>50</v>
      </c>
      <c r="F52">
        <f>SUM(F47:F51)</f>
        <v>0</v>
      </c>
    </row>
    <row r="54" spans="1:6" x14ac:dyDescent="0.35">
      <c r="A54" s="3"/>
      <c r="B54" s="6" t="s">
        <v>51</v>
      </c>
      <c r="C54" s="6"/>
      <c r="D54" s="6"/>
      <c r="E54" s="6"/>
    </row>
    <row r="55" spans="1:6" x14ac:dyDescent="0.35">
      <c r="A55" s="3"/>
      <c r="B55" s="6" t="s">
        <v>52</v>
      </c>
      <c r="C55" s="6"/>
      <c r="D55" s="6"/>
      <c r="E55" s="6"/>
    </row>
    <row r="57" spans="1:6" s="2" customFormat="1" x14ac:dyDescent="0.35">
      <c r="A57" s="2" t="s">
        <v>5</v>
      </c>
      <c r="B57" s="2" t="s">
        <v>6</v>
      </c>
      <c r="C57" s="2" t="s">
        <v>7</v>
      </c>
      <c r="D57" s="2" t="s">
        <v>8</v>
      </c>
      <c r="E57" s="2" t="s">
        <v>9</v>
      </c>
      <c r="F57" s="2" t="s">
        <v>10</v>
      </c>
    </row>
    <row r="59" spans="1:6" s="2" customFormat="1" x14ac:dyDescent="0.35">
      <c r="A59" s="2">
        <v>1</v>
      </c>
      <c r="B59" s="2" t="s">
        <v>53</v>
      </c>
    </row>
    <row r="61" spans="1:6" s="2" customFormat="1" x14ac:dyDescent="0.35">
      <c r="B61" s="2" t="s">
        <v>54</v>
      </c>
    </row>
    <row r="63" spans="1:6" x14ac:dyDescent="0.35">
      <c r="B63" t="s">
        <v>55</v>
      </c>
      <c r="F63">
        <f>D63*E63</f>
        <v>0</v>
      </c>
    </row>
    <row r="65" spans="1:6" x14ac:dyDescent="0.35">
      <c r="A65" t="s">
        <v>56</v>
      </c>
      <c r="B65" t="s">
        <v>57</v>
      </c>
    </row>
    <row r="66" spans="1:6" x14ac:dyDescent="0.35">
      <c r="B66" t="s">
        <v>58</v>
      </c>
    </row>
    <row r="68" spans="1:6" x14ac:dyDescent="0.35">
      <c r="A68" t="s">
        <v>44</v>
      </c>
      <c r="B68" t="s">
        <v>59</v>
      </c>
      <c r="C68" t="s">
        <v>60</v>
      </c>
      <c r="D68">
        <v>160</v>
      </c>
      <c r="E68" s="1">
        <v>33</v>
      </c>
      <c r="F68">
        <f>D68*E68</f>
        <v>5280</v>
      </c>
    </row>
    <row r="70" spans="1:6" x14ac:dyDescent="0.35">
      <c r="A70" t="s">
        <v>47</v>
      </c>
      <c r="B70" t="s">
        <v>61</v>
      </c>
      <c r="C70" t="s">
        <v>60</v>
      </c>
      <c r="D70">
        <v>160</v>
      </c>
      <c r="E70" s="1">
        <v>49.5</v>
      </c>
      <c r="F70">
        <f>D70*E70</f>
        <v>7920</v>
      </c>
    </row>
    <row r="72" spans="1:6" x14ac:dyDescent="0.35">
      <c r="A72" t="s">
        <v>62</v>
      </c>
      <c r="B72" t="s">
        <v>63</v>
      </c>
      <c r="C72" t="s">
        <v>64</v>
      </c>
      <c r="D72">
        <v>28</v>
      </c>
      <c r="E72" s="1">
        <v>154</v>
      </c>
      <c r="F72">
        <f>D72*E72</f>
        <v>4312</v>
      </c>
    </row>
    <row r="74" spans="1:6" x14ac:dyDescent="0.35">
      <c r="A74" t="s">
        <v>65</v>
      </c>
      <c r="B74" t="s">
        <v>66</v>
      </c>
      <c r="C74" t="s">
        <v>64</v>
      </c>
      <c r="D74">
        <v>8</v>
      </c>
      <c r="F74">
        <f>D74*E74</f>
        <v>0</v>
      </c>
    </row>
    <row r="76" spans="1:6" x14ac:dyDescent="0.35">
      <c r="A76" t="s">
        <v>67</v>
      </c>
      <c r="B76" t="s">
        <v>68</v>
      </c>
      <c r="C76" t="s">
        <v>64</v>
      </c>
      <c r="D76">
        <v>18</v>
      </c>
      <c r="F76">
        <f>D76*E76</f>
        <v>0</v>
      </c>
    </row>
    <row r="78" spans="1:6" x14ac:dyDescent="0.35">
      <c r="A78" t="s">
        <v>69</v>
      </c>
      <c r="B78" t="s">
        <v>70</v>
      </c>
      <c r="C78" t="s">
        <v>46</v>
      </c>
      <c r="D78">
        <v>5</v>
      </c>
      <c r="E78" s="1">
        <v>2750</v>
      </c>
      <c r="F78">
        <f>D78*E78</f>
        <v>13750</v>
      </c>
    </row>
    <row r="80" spans="1:6" x14ac:dyDescent="0.35">
      <c r="A80" t="s">
        <v>71</v>
      </c>
      <c r="B80" t="s">
        <v>72</v>
      </c>
      <c r="C80" t="s">
        <v>60</v>
      </c>
      <c r="D80">
        <v>49</v>
      </c>
      <c r="E80" s="1">
        <v>165</v>
      </c>
      <c r="F80">
        <f>D80*E80</f>
        <v>8085</v>
      </c>
    </row>
    <row r="82" spans="1:6" x14ac:dyDescent="0.35">
      <c r="A82" t="s">
        <v>73</v>
      </c>
      <c r="B82" t="s">
        <v>74</v>
      </c>
      <c r="C82" t="s">
        <v>60</v>
      </c>
      <c r="D82">
        <v>255</v>
      </c>
      <c r="F82">
        <f>D82*E82</f>
        <v>0</v>
      </c>
    </row>
    <row r="84" spans="1:6" x14ac:dyDescent="0.35">
      <c r="A84" t="s">
        <v>75</v>
      </c>
      <c r="B84" t="s">
        <v>76</v>
      </c>
      <c r="C84" t="s">
        <v>46</v>
      </c>
      <c r="D84">
        <v>1</v>
      </c>
      <c r="F84">
        <f>D84*E84</f>
        <v>0</v>
      </c>
    </row>
    <row r="86" spans="1:6" x14ac:dyDescent="0.35">
      <c r="A86" t="s">
        <v>77</v>
      </c>
      <c r="B86" t="s">
        <v>78</v>
      </c>
      <c r="C86" t="s">
        <v>46</v>
      </c>
      <c r="D86">
        <v>1</v>
      </c>
      <c r="E86" s="1">
        <v>3575</v>
      </c>
      <c r="F86">
        <f>D86*E86</f>
        <v>3575</v>
      </c>
    </row>
    <row r="88" spans="1:6" x14ac:dyDescent="0.35">
      <c r="A88" t="s">
        <v>79</v>
      </c>
      <c r="B88" t="s">
        <v>80</v>
      </c>
      <c r="C88" t="s">
        <v>64</v>
      </c>
      <c r="D88">
        <v>20</v>
      </c>
      <c r="E88" s="1">
        <v>66</v>
      </c>
      <c r="F88">
        <f>D88*E88</f>
        <v>1320</v>
      </c>
    </row>
    <row r="90" spans="1:6" x14ac:dyDescent="0.35">
      <c r="A90" t="s">
        <v>81</v>
      </c>
      <c r="B90" t="s">
        <v>82</v>
      </c>
      <c r="C90" t="s">
        <v>64</v>
      </c>
      <c r="D90">
        <v>24</v>
      </c>
      <c r="E90" s="1">
        <v>82.5</v>
      </c>
      <c r="F90">
        <f>D90*E90</f>
        <v>1980</v>
      </c>
    </row>
    <row r="92" spans="1:6" x14ac:dyDescent="0.35">
      <c r="B92" t="s">
        <v>83</v>
      </c>
    </row>
    <row r="94" spans="1:6" x14ac:dyDescent="0.35">
      <c r="A94" t="s">
        <v>84</v>
      </c>
      <c r="B94" t="s">
        <v>85</v>
      </c>
      <c r="C94" t="s">
        <v>64</v>
      </c>
      <c r="D94">
        <v>55</v>
      </c>
      <c r="E94" s="1">
        <v>253</v>
      </c>
      <c r="F94">
        <f>D94*E94</f>
        <v>13915</v>
      </c>
    </row>
    <row r="96" spans="1:6" x14ac:dyDescent="0.35">
      <c r="A96" t="s">
        <v>86</v>
      </c>
      <c r="B96" t="s">
        <v>87</v>
      </c>
      <c r="C96" t="s">
        <v>60</v>
      </c>
      <c r="D96">
        <v>130</v>
      </c>
      <c r="F96">
        <f>D96*E96</f>
        <v>0</v>
      </c>
    </row>
    <row r="98" spans="1:6" s="2" customFormat="1" x14ac:dyDescent="0.35">
      <c r="B98" s="2" t="s">
        <v>88</v>
      </c>
    </row>
    <row r="100" spans="1:6" x14ac:dyDescent="0.35">
      <c r="B100" t="s">
        <v>89</v>
      </c>
    </row>
    <row r="102" spans="1:6" x14ac:dyDescent="0.35">
      <c r="A102" t="s">
        <v>90</v>
      </c>
      <c r="B102" t="s">
        <v>91</v>
      </c>
      <c r="C102" t="s">
        <v>64</v>
      </c>
      <c r="D102">
        <v>2.35</v>
      </c>
      <c r="E102" s="1">
        <v>2530</v>
      </c>
      <c r="F102">
        <f>D102*E102</f>
        <v>5945.5</v>
      </c>
    </row>
    <row r="104" spans="1:6" x14ac:dyDescent="0.35">
      <c r="B104" t="s">
        <v>92</v>
      </c>
    </row>
    <row r="106" spans="1:6" x14ac:dyDescent="0.35">
      <c r="A106" t="s">
        <v>93</v>
      </c>
      <c r="B106" t="s">
        <v>94</v>
      </c>
      <c r="C106" t="s">
        <v>64</v>
      </c>
      <c r="D106">
        <v>8</v>
      </c>
      <c r="E106" s="1">
        <v>5280</v>
      </c>
      <c r="F106">
        <f>D106*E106</f>
        <v>42240</v>
      </c>
    </row>
    <row r="108" spans="1:6" x14ac:dyDescent="0.35">
      <c r="A108" t="s">
        <v>95</v>
      </c>
      <c r="B108" t="s">
        <v>96</v>
      </c>
      <c r="C108" t="s">
        <v>64</v>
      </c>
      <c r="D108">
        <v>3</v>
      </c>
      <c r="E108" s="1">
        <v>5280</v>
      </c>
      <c r="F108">
        <f>D108*E108</f>
        <v>15840</v>
      </c>
    </row>
    <row r="110" spans="1:6" x14ac:dyDescent="0.35">
      <c r="A110" t="s">
        <v>97</v>
      </c>
      <c r="B110" t="s">
        <v>98</v>
      </c>
      <c r="C110" t="s">
        <v>64</v>
      </c>
      <c r="D110">
        <v>2</v>
      </c>
      <c r="E110" s="1">
        <v>5280</v>
      </c>
      <c r="F110">
        <f>D110*E110</f>
        <v>10560</v>
      </c>
    </row>
    <row r="112" spans="1:6" x14ac:dyDescent="0.35">
      <c r="A112" t="s">
        <v>99</v>
      </c>
      <c r="B112" t="s">
        <v>100</v>
      </c>
      <c r="C112" t="s">
        <v>64</v>
      </c>
      <c r="D112">
        <v>5</v>
      </c>
      <c r="E112" s="1">
        <v>5280</v>
      </c>
      <c r="F112">
        <f>D112*E112</f>
        <v>26400</v>
      </c>
    </row>
    <row r="114" spans="1:6" x14ac:dyDescent="0.35">
      <c r="A114" t="s">
        <v>101</v>
      </c>
      <c r="B114" t="s">
        <v>102</v>
      </c>
      <c r="C114" t="s">
        <v>64</v>
      </c>
      <c r="D114">
        <v>28</v>
      </c>
      <c r="E114" s="1">
        <v>5280</v>
      </c>
      <c r="F114">
        <f>D114*E114</f>
        <v>147840</v>
      </c>
    </row>
    <row r="116" spans="1:6" x14ac:dyDescent="0.35">
      <c r="A116" t="s">
        <v>103</v>
      </c>
      <c r="B116" t="s">
        <v>104</v>
      </c>
      <c r="C116" t="s">
        <v>64</v>
      </c>
      <c r="D116">
        <v>1</v>
      </c>
      <c r="F116">
        <f>D116*E116</f>
        <v>0</v>
      </c>
    </row>
    <row r="118" spans="1:6" x14ac:dyDescent="0.35">
      <c r="A118" t="s">
        <v>105</v>
      </c>
      <c r="B118" t="s">
        <v>106</v>
      </c>
      <c r="C118" t="s">
        <v>64</v>
      </c>
      <c r="D118">
        <v>2</v>
      </c>
      <c r="F118">
        <f>D118*E118</f>
        <v>0</v>
      </c>
    </row>
    <row r="120" spans="1:6" s="2" customFormat="1" x14ac:dyDescent="0.35">
      <c r="B120" s="2" t="s">
        <v>107</v>
      </c>
    </row>
    <row r="122" spans="1:6" s="2" customFormat="1" x14ac:dyDescent="0.35">
      <c r="B122" s="2" t="s">
        <v>108</v>
      </c>
    </row>
    <row r="124" spans="1:6" x14ac:dyDescent="0.35">
      <c r="A124" t="s">
        <v>109</v>
      </c>
      <c r="B124" t="s">
        <v>110</v>
      </c>
      <c r="C124" t="s">
        <v>111</v>
      </c>
      <c r="D124">
        <v>62</v>
      </c>
      <c r="E124" s="1">
        <v>49.5</v>
      </c>
      <c r="F124">
        <f>D124*E124</f>
        <v>3069</v>
      </c>
    </row>
    <row r="126" spans="1:6" x14ac:dyDescent="0.35">
      <c r="A126" t="s">
        <v>112</v>
      </c>
      <c r="B126" t="s">
        <v>113</v>
      </c>
      <c r="C126" t="s">
        <v>111</v>
      </c>
      <c r="D126">
        <v>18</v>
      </c>
      <c r="E126" s="1">
        <v>46.75</v>
      </c>
      <c r="F126">
        <f>D126*E126</f>
        <v>841.5</v>
      </c>
    </row>
    <row r="128" spans="1:6" x14ac:dyDescent="0.35">
      <c r="B128" t="s">
        <v>114</v>
      </c>
    </row>
    <row r="130" spans="1:6" x14ac:dyDescent="0.35">
      <c r="A130" t="s">
        <v>115</v>
      </c>
      <c r="B130" t="s">
        <v>116</v>
      </c>
      <c r="C130" t="s">
        <v>60</v>
      </c>
      <c r="D130">
        <v>153</v>
      </c>
      <c r="E130" s="1">
        <v>495</v>
      </c>
      <c r="F130">
        <f>D130*E130</f>
        <v>75735</v>
      </c>
    </row>
    <row r="132" spans="1:6" x14ac:dyDescent="0.35">
      <c r="A132" t="s">
        <v>117</v>
      </c>
      <c r="B132" t="s">
        <v>118</v>
      </c>
      <c r="C132" t="s">
        <v>60</v>
      </c>
      <c r="D132">
        <v>40</v>
      </c>
      <c r="F132">
        <f>D132*E132</f>
        <v>0</v>
      </c>
    </row>
    <row r="134" spans="1:6" x14ac:dyDescent="0.35">
      <c r="B134" t="s">
        <v>119</v>
      </c>
    </row>
    <row r="136" spans="1:6" x14ac:dyDescent="0.35">
      <c r="B136" t="s">
        <v>120</v>
      </c>
    </row>
    <row r="138" spans="1:6" x14ac:dyDescent="0.35">
      <c r="A138" t="s">
        <v>121</v>
      </c>
      <c r="B138" t="s">
        <v>122</v>
      </c>
      <c r="C138" t="s">
        <v>60</v>
      </c>
      <c r="D138">
        <v>9</v>
      </c>
      <c r="E138" s="1">
        <v>412.5</v>
      </c>
      <c r="F138">
        <f>D138*E138</f>
        <v>3712.5</v>
      </c>
    </row>
    <row r="140" spans="1:6" x14ac:dyDescent="0.35">
      <c r="A140" t="s">
        <v>123</v>
      </c>
      <c r="B140" t="s">
        <v>124</v>
      </c>
      <c r="C140" t="s">
        <v>125</v>
      </c>
      <c r="D140">
        <v>48</v>
      </c>
      <c r="E140" s="1">
        <v>49.5</v>
      </c>
      <c r="F140">
        <f>D140*E140</f>
        <v>2376</v>
      </c>
    </row>
    <row r="142" spans="1:6" x14ac:dyDescent="0.35">
      <c r="B142" t="s">
        <v>126</v>
      </c>
    </row>
    <row r="144" spans="1:6" s="2" customFormat="1" x14ac:dyDescent="0.35">
      <c r="B144" s="2" t="s">
        <v>127</v>
      </c>
    </row>
    <row r="146" spans="1:6" x14ac:dyDescent="0.35">
      <c r="A146" t="s">
        <v>128</v>
      </c>
      <c r="B146" t="s">
        <v>129</v>
      </c>
      <c r="C146" t="s">
        <v>60</v>
      </c>
      <c r="D146">
        <v>53</v>
      </c>
      <c r="E146" s="1">
        <v>572</v>
      </c>
      <c r="F146">
        <f>D146*E146</f>
        <v>30316</v>
      </c>
    </row>
    <row r="148" spans="1:6" x14ac:dyDescent="0.35">
      <c r="B148" t="s">
        <v>130</v>
      </c>
    </row>
    <row r="150" spans="1:6" x14ac:dyDescent="0.35">
      <c r="A150" t="s">
        <v>131</v>
      </c>
      <c r="B150" t="s">
        <v>132</v>
      </c>
      <c r="C150" t="s">
        <v>125</v>
      </c>
      <c r="D150">
        <v>67</v>
      </c>
      <c r="E150" s="1">
        <v>14.3</v>
      </c>
      <c r="F150">
        <f>D150*E150</f>
        <v>958.1</v>
      </c>
    </row>
    <row r="152" spans="1:6" x14ac:dyDescent="0.35">
      <c r="B152" t="s">
        <v>133</v>
      </c>
    </row>
    <row r="154" spans="1:6" x14ac:dyDescent="0.35">
      <c r="A154" t="s">
        <v>134</v>
      </c>
      <c r="B154" t="s">
        <v>135</v>
      </c>
      <c r="C154" t="s">
        <v>60</v>
      </c>
      <c r="D154">
        <v>38</v>
      </c>
      <c r="E154" s="1">
        <v>220</v>
      </c>
      <c r="F154">
        <f>D154*E154</f>
        <v>8360</v>
      </c>
    </row>
    <row r="156" spans="1:6" x14ac:dyDescent="0.35">
      <c r="B156" t="s">
        <v>136</v>
      </c>
    </row>
    <row r="158" spans="1:6" x14ac:dyDescent="0.35">
      <c r="A158" t="s">
        <v>137</v>
      </c>
      <c r="B158" t="s">
        <v>138</v>
      </c>
      <c r="C158" t="s">
        <v>60</v>
      </c>
      <c r="D158">
        <v>38</v>
      </c>
      <c r="E158" s="1">
        <v>220</v>
      </c>
      <c r="F158">
        <f>D158*E158</f>
        <v>8360</v>
      </c>
    </row>
    <row r="160" spans="1:6" x14ac:dyDescent="0.35">
      <c r="B160" t="s">
        <v>139</v>
      </c>
      <c r="E160" t="s">
        <v>50</v>
      </c>
      <c r="F160">
        <f>SUM(F68:F158)</f>
        <v>442690.6</v>
      </c>
    </row>
    <row r="162" spans="1:6" s="2" customFormat="1" x14ac:dyDescent="0.35">
      <c r="A162" s="2">
        <v>2</v>
      </c>
      <c r="B162" s="2" t="s">
        <v>140</v>
      </c>
    </row>
    <row r="164" spans="1:6" s="2" customFormat="1" x14ac:dyDescent="0.35">
      <c r="B164" s="2" t="s">
        <v>141</v>
      </c>
    </row>
    <row r="166" spans="1:6" s="2" customFormat="1" x14ac:dyDescent="0.35">
      <c r="B166" s="2" t="s">
        <v>142</v>
      </c>
    </row>
    <row r="168" spans="1:6" x14ac:dyDescent="0.35">
      <c r="A168" t="s">
        <v>44</v>
      </c>
      <c r="B168" t="s">
        <v>143</v>
      </c>
      <c r="C168" t="s">
        <v>144</v>
      </c>
      <c r="D168">
        <v>2</v>
      </c>
      <c r="E168" s="1">
        <v>5280</v>
      </c>
      <c r="F168">
        <f>D168*E168</f>
        <v>10560</v>
      </c>
    </row>
    <row r="170" spans="1:6" x14ac:dyDescent="0.35">
      <c r="B170" t="s">
        <v>107</v>
      </c>
    </row>
    <row r="172" spans="1:6" x14ac:dyDescent="0.35">
      <c r="B172" t="s">
        <v>145</v>
      </c>
    </row>
    <row r="174" spans="1:6" x14ac:dyDescent="0.35">
      <c r="A174" t="s">
        <v>67</v>
      </c>
      <c r="B174" t="s">
        <v>146</v>
      </c>
      <c r="C174" t="s">
        <v>147</v>
      </c>
      <c r="D174">
        <v>125</v>
      </c>
      <c r="E174" s="1">
        <v>46.2</v>
      </c>
      <c r="F174">
        <f>D174*E174</f>
        <v>5775</v>
      </c>
    </row>
    <row r="176" spans="1:6" x14ac:dyDescent="0.35">
      <c r="B176" t="s">
        <v>148</v>
      </c>
    </row>
    <row r="178" spans="1:6" x14ac:dyDescent="0.35">
      <c r="A178" t="s">
        <v>69</v>
      </c>
      <c r="B178" t="s">
        <v>149</v>
      </c>
      <c r="C178" t="s">
        <v>111</v>
      </c>
      <c r="D178">
        <v>178</v>
      </c>
      <c r="E178" s="1">
        <v>49.5</v>
      </c>
      <c r="F178">
        <f>D178*E178</f>
        <v>8811</v>
      </c>
    </row>
    <row r="180" spans="1:6" x14ac:dyDescent="0.35">
      <c r="B180" t="s">
        <v>119</v>
      </c>
    </row>
    <row r="182" spans="1:6" x14ac:dyDescent="0.35">
      <c r="B182" t="s">
        <v>120</v>
      </c>
    </row>
    <row r="184" spans="1:6" x14ac:dyDescent="0.35">
      <c r="A184" t="s">
        <v>73</v>
      </c>
      <c r="B184" t="s">
        <v>150</v>
      </c>
      <c r="C184" t="s">
        <v>60</v>
      </c>
      <c r="D184">
        <v>10</v>
      </c>
      <c r="E184" s="1">
        <v>412.5</v>
      </c>
      <c r="F184">
        <f>D184*E184</f>
        <v>4125</v>
      </c>
    </row>
    <row r="187" spans="1:6" s="2" customFormat="1" x14ac:dyDescent="0.35">
      <c r="B187" s="2" t="s">
        <v>151</v>
      </c>
      <c r="E187" s="2" t="s">
        <v>50</v>
      </c>
      <c r="F187" s="2">
        <f>SUM(F168:F184)</f>
        <v>29271</v>
      </c>
    </row>
    <row r="189" spans="1:6" s="2" customFormat="1" x14ac:dyDescent="0.35">
      <c r="A189" s="2">
        <v>3</v>
      </c>
      <c r="B189" s="2" t="s">
        <v>126</v>
      </c>
    </row>
    <row r="191" spans="1:6" x14ac:dyDescent="0.35">
      <c r="B191" t="s">
        <v>152</v>
      </c>
    </row>
    <row r="193" spans="1:6" x14ac:dyDescent="0.35">
      <c r="A193" t="s">
        <v>44</v>
      </c>
      <c r="B193" t="s">
        <v>153</v>
      </c>
      <c r="C193" t="s">
        <v>60</v>
      </c>
      <c r="D193">
        <v>186</v>
      </c>
      <c r="E193" s="1">
        <v>478.5</v>
      </c>
      <c r="F193">
        <f>D193*E193</f>
        <v>89001</v>
      </c>
    </row>
    <row r="195" spans="1:6" x14ac:dyDescent="0.35">
      <c r="A195" t="s">
        <v>47</v>
      </c>
      <c r="B195" t="s">
        <v>154</v>
      </c>
      <c r="C195" t="s">
        <v>125</v>
      </c>
      <c r="D195">
        <v>40</v>
      </c>
      <c r="F195">
        <f>D195*E195</f>
        <v>0</v>
      </c>
    </row>
    <row r="197" spans="1:6" x14ac:dyDescent="0.35">
      <c r="B197" t="s">
        <v>130</v>
      </c>
    </row>
    <row r="199" spans="1:6" x14ac:dyDescent="0.35">
      <c r="A199" t="s">
        <v>62</v>
      </c>
      <c r="B199" t="s">
        <v>155</v>
      </c>
      <c r="C199" t="s">
        <v>125</v>
      </c>
      <c r="D199">
        <v>305</v>
      </c>
      <c r="E199" s="1">
        <v>14.3</v>
      </c>
      <c r="F199">
        <f>D199*E199</f>
        <v>4361.5</v>
      </c>
    </row>
    <row r="201" spans="1:6" x14ac:dyDescent="0.35">
      <c r="B201" t="s">
        <v>156</v>
      </c>
    </row>
    <row r="203" spans="1:6" x14ac:dyDescent="0.35">
      <c r="A203" t="s">
        <v>65</v>
      </c>
      <c r="B203" t="s">
        <v>157</v>
      </c>
      <c r="C203" t="s">
        <v>125</v>
      </c>
      <c r="D203">
        <v>44</v>
      </c>
      <c r="E203" s="1">
        <v>126.5</v>
      </c>
      <c r="F203">
        <f>D203*E203</f>
        <v>5566</v>
      </c>
    </row>
    <row r="205" spans="1:6" x14ac:dyDescent="0.35">
      <c r="B205" t="s">
        <v>158</v>
      </c>
      <c r="E205" t="s">
        <v>50</v>
      </c>
      <c r="F205">
        <f>SUM(F192:F203)</f>
        <v>98928.5</v>
      </c>
    </row>
    <row r="207" spans="1:6" s="2" customFormat="1" x14ac:dyDescent="0.35">
      <c r="A207" s="2">
        <v>4</v>
      </c>
      <c r="B207" s="2" t="s">
        <v>159</v>
      </c>
    </row>
    <row r="209" spans="1:6" x14ac:dyDescent="0.35">
      <c r="B209" t="s">
        <v>160</v>
      </c>
    </row>
    <row r="211" spans="1:6" x14ac:dyDescent="0.35">
      <c r="A211" t="s">
        <v>161</v>
      </c>
      <c r="B211" t="s">
        <v>162</v>
      </c>
      <c r="C211" t="s">
        <v>60</v>
      </c>
      <c r="D211">
        <v>168</v>
      </c>
      <c r="F211">
        <f>E211*D211</f>
        <v>0</v>
      </c>
    </row>
    <row r="213" spans="1:6" x14ac:dyDescent="0.35">
      <c r="A213" t="s">
        <v>47</v>
      </c>
      <c r="B213" t="s">
        <v>163</v>
      </c>
      <c r="C213" t="s">
        <v>125</v>
      </c>
      <c r="D213">
        <v>16</v>
      </c>
      <c r="E213" s="1">
        <v>275</v>
      </c>
      <c r="F213">
        <f>E213*D213</f>
        <v>4400</v>
      </c>
    </row>
    <row r="215" spans="1:6" x14ac:dyDescent="0.35">
      <c r="B215" t="s">
        <v>164</v>
      </c>
    </row>
    <row r="217" spans="1:6" x14ac:dyDescent="0.35">
      <c r="A217" t="s">
        <v>62</v>
      </c>
      <c r="B217" t="s">
        <v>165</v>
      </c>
      <c r="C217" t="s">
        <v>125</v>
      </c>
      <c r="D217">
        <v>12</v>
      </c>
      <c r="F217">
        <f>E217*D217</f>
        <v>0</v>
      </c>
    </row>
    <row r="219" spans="1:6" x14ac:dyDescent="0.35">
      <c r="B219" t="s">
        <v>166</v>
      </c>
    </row>
    <row r="221" spans="1:6" x14ac:dyDescent="0.35">
      <c r="A221" t="s">
        <v>65</v>
      </c>
      <c r="B221" t="s">
        <v>167</v>
      </c>
      <c r="C221" t="s">
        <v>60</v>
      </c>
      <c r="D221">
        <v>167</v>
      </c>
      <c r="E221" s="1">
        <v>126.5</v>
      </c>
      <c r="F221">
        <f>E221*D221</f>
        <v>21125.5</v>
      </c>
    </row>
    <row r="223" spans="1:6" x14ac:dyDescent="0.35">
      <c r="B223" t="s">
        <v>168</v>
      </c>
      <c r="E223" t="s">
        <v>50</v>
      </c>
      <c r="F223">
        <f>SUM(F211:F222)</f>
        <v>25525.5</v>
      </c>
    </row>
    <row r="225" spans="1:6" s="2" customFormat="1" x14ac:dyDescent="0.35">
      <c r="A225" s="2">
        <v>5</v>
      </c>
      <c r="B225" s="2" t="s">
        <v>169</v>
      </c>
    </row>
    <row r="227" spans="1:6" x14ac:dyDescent="0.35">
      <c r="B227" t="s">
        <v>170</v>
      </c>
    </row>
    <row r="229" spans="1:6" x14ac:dyDescent="0.35">
      <c r="A229" t="s">
        <v>44</v>
      </c>
      <c r="B229" t="s">
        <v>171</v>
      </c>
      <c r="C229" t="s">
        <v>111</v>
      </c>
      <c r="D229">
        <v>912</v>
      </c>
      <c r="E229" s="1">
        <v>132</v>
      </c>
      <c r="F229">
        <f>E229*D229</f>
        <v>120384</v>
      </c>
    </row>
    <row r="231" spans="1:6" x14ac:dyDescent="0.35">
      <c r="A231" t="s">
        <v>47</v>
      </c>
      <c r="B231" t="s">
        <v>172</v>
      </c>
      <c r="C231" t="s">
        <v>111</v>
      </c>
      <c r="D231">
        <v>2553</v>
      </c>
      <c r="E231" s="1">
        <v>132</v>
      </c>
      <c r="F231">
        <f>E231*D231</f>
        <v>336996</v>
      </c>
    </row>
    <row r="233" spans="1:6" x14ac:dyDescent="0.35">
      <c r="A233" t="s">
        <v>62</v>
      </c>
      <c r="B233" t="s">
        <v>173</v>
      </c>
      <c r="C233" t="s">
        <v>111</v>
      </c>
      <c r="D233">
        <v>211</v>
      </c>
      <c r="E233" s="1">
        <v>132</v>
      </c>
      <c r="F233">
        <f>E233*D233</f>
        <v>27852</v>
      </c>
    </row>
    <row r="235" spans="1:6" x14ac:dyDescent="0.35">
      <c r="A235" t="s">
        <v>65</v>
      </c>
      <c r="B235" t="s">
        <v>174</v>
      </c>
      <c r="C235" t="s">
        <v>111</v>
      </c>
      <c r="D235">
        <v>875</v>
      </c>
      <c r="E235" s="1">
        <v>132</v>
      </c>
      <c r="F235">
        <f>E235*D235</f>
        <v>115500</v>
      </c>
    </row>
    <row r="237" spans="1:6" x14ac:dyDescent="0.35">
      <c r="A237" t="s">
        <v>67</v>
      </c>
      <c r="B237" t="s">
        <v>175</v>
      </c>
      <c r="C237" t="s">
        <v>111</v>
      </c>
      <c r="D237">
        <v>1574</v>
      </c>
      <c r="F237">
        <f>D237*E237</f>
        <v>0</v>
      </c>
    </row>
    <row r="239" spans="1:6" x14ac:dyDescent="0.35">
      <c r="A239" t="s">
        <v>69</v>
      </c>
      <c r="B239" t="s">
        <v>176</v>
      </c>
      <c r="C239" t="s">
        <v>111</v>
      </c>
      <c r="D239">
        <v>167</v>
      </c>
      <c r="E239" s="1">
        <v>132</v>
      </c>
      <c r="F239">
        <f>E239*D239</f>
        <v>22044</v>
      </c>
    </row>
    <row r="241" spans="1:6" x14ac:dyDescent="0.35">
      <c r="A241" t="s">
        <v>71</v>
      </c>
      <c r="B241" t="s">
        <v>177</v>
      </c>
      <c r="C241" t="s">
        <v>111</v>
      </c>
      <c r="D241">
        <v>89</v>
      </c>
      <c r="E241" s="1">
        <v>132</v>
      </c>
      <c r="F241">
        <f>E241*D241</f>
        <v>11748</v>
      </c>
    </row>
    <row r="243" spans="1:6" x14ac:dyDescent="0.35">
      <c r="A243" t="s">
        <v>73</v>
      </c>
      <c r="B243" t="s">
        <v>178</v>
      </c>
      <c r="C243" t="s">
        <v>111</v>
      </c>
      <c r="D243">
        <v>72</v>
      </c>
      <c r="E243" s="1">
        <v>132</v>
      </c>
      <c r="F243">
        <f>E243*D243</f>
        <v>9504</v>
      </c>
    </row>
    <row r="245" spans="1:6" x14ac:dyDescent="0.35">
      <c r="A245" t="s">
        <v>75</v>
      </c>
      <c r="B245" t="s">
        <v>179</v>
      </c>
      <c r="C245" t="s">
        <v>180</v>
      </c>
      <c r="D245">
        <v>132</v>
      </c>
      <c r="E245" s="1">
        <v>330</v>
      </c>
      <c r="F245">
        <f>E245*D245</f>
        <v>43560</v>
      </c>
    </row>
    <row r="247" spans="1:6" x14ac:dyDescent="0.35">
      <c r="A247" t="s">
        <v>77</v>
      </c>
      <c r="B247" t="s">
        <v>181</v>
      </c>
      <c r="C247" t="s">
        <v>180</v>
      </c>
      <c r="D247">
        <v>88</v>
      </c>
      <c r="E247" s="1">
        <v>330</v>
      </c>
      <c r="F247">
        <f>E247*D247</f>
        <v>29040</v>
      </c>
    </row>
    <row r="249" spans="1:6" x14ac:dyDescent="0.35">
      <c r="B249" t="s">
        <v>182</v>
      </c>
    </row>
    <row r="251" spans="1:6" x14ac:dyDescent="0.35">
      <c r="A251" t="s">
        <v>79</v>
      </c>
      <c r="B251" t="s">
        <v>183</v>
      </c>
      <c r="C251" t="s">
        <v>180</v>
      </c>
      <c r="D251">
        <v>24</v>
      </c>
      <c r="E251" s="1">
        <v>550</v>
      </c>
      <c r="F251">
        <f>E251*D251</f>
        <v>13200</v>
      </c>
    </row>
    <row r="253" spans="1:6" x14ac:dyDescent="0.35">
      <c r="B253" t="s">
        <v>184</v>
      </c>
    </row>
    <row r="255" spans="1:6" x14ac:dyDescent="0.35">
      <c r="B255" t="s">
        <v>185</v>
      </c>
    </row>
    <row r="257" spans="1:6" x14ac:dyDescent="0.35">
      <c r="A257" t="s">
        <v>81</v>
      </c>
      <c r="B257" t="s">
        <v>186</v>
      </c>
      <c r="C257" t="s">
        <v>111</v>
      </c>
      <c r="D257">
        <v>6453</v>
      </c>
      <c r="E257" s="1">
        <v>24.2</v>
      </c>
      <c r="F257">
        <f>E257*D257</f>
        <v>156162.6</v>
      </c>
    </row>
    <row r="259" spans="1:6" x14ac:dyDescent="0.35">
      <c r="B259" t="s">
        <v>187</v>
      </c>
      <c r="E259" t="s">
        <v>50</v>
      </c>
      <c r="F259">
        <f>SUM(F225:F258)</f>
        <v>885990.6</v>
      </c>
    </row>
    <row r="261" spans="1:6" s="2" customFormat="1" x14ac:dyDescent="0.35">
      <c r="A261" s="2">
        <v>6</v>
      </c>
      <c r="B261" s="2" t="s">
        <v>188</v>
      </c>
    </row>
    <row r="263" spans="1:6" s="2" customFormat="1" x14ac:dyDescent="0.35">
      <c r="B263" s="2" t="s">
        <v>189</v>
      </c>
    </row>
    <row r="265" spans="1:6" x14ac:dyDescent="0.35">
      <c r="B265" t="s">
        <v>190</v>
      </c>
    </row>
    <row r="267" spans="1:6" x14ac:dyDescent="0.35">
      <c r="A267" t="s">
        <v>44</v>
      </c>
      <c r="B267" t="s">
        <v>191</v>
      </c>
      <c r="C267" t="s">
        <v>180</v>
      </c>
      <c r="D267">
        <v>2</v>
      </c>
      <c r="F267">
        <f>E267*D267</f>
        <v>0</v>
      </c>
    </row>
    <row r="269" spans="1:6" x14ac:dyDescent="0.35">
      <c r="B269" t="s">
        <v>192</v>
      </c>
    </row>
    <row r="271" spans="1:6" x14ac:dyDescent="0.35">
      <c r="A271" t="s">
        <v>47</v>
      </c>
      <c r="B271" t="s">
        <v>193</v>
      </c>
      <c r="C271" t="s">
        <v>180</v>
      </c>
      <c r="D271">
        <v>8</v>
      </c>
      <c r="F271">
        <f>D271*E271</f>
        <v>0</v>
      </c>
    </row>
    <row r="273" spans="1:6" x14ac:dyDescent="0.35">
      <c r="B273" t="s">
        <v>194</v>
      </c>
    </row>
    <row r="275" spans="1:6" x14ac:dyDescent="0.35">
      <c r="B275" t="s">
        <v>195</v>
      </c>
      <c r="F275">
        <f>E275*D275</f>
        <v>0</v>
      </c>
    </row>
    <row r="277" spans="1:6" x14ac:dyDescent="0.35">
      <c r="A277" t="s">
        <v>62</v>
      </c>
      <c r="B277" t="s">
        <v>196</v>
      </c>
      <c r="C277" t="s">
        <v>125</v>
      </c>
      <c r="D277">
        <v>16</v>
      </c>
      <c r="E277" s="1">
        <v>440</v>
      </c>
      <c r="F277">
        <f>D277*E277</f>
        <v>7040</v>
      </c>
    </row>
    <row r="279" spans="1:6" x14ac:dyDescent="0.35">
      <c r="A279" t="s">
        <v>65</v>
      </c>
      <c r="B279" t="s">
        <v>197</v>
      </c>
      <c r="C279" t="s">
        <v>125</v>
      </c>
      <c r="D279">
        <v>6</v>
      </c>
      <c r="F279">
        <f>D279*E279</f>
        <v>0</v>
      </c>
    </row>
    <row r="281" spans="1:6" x14ac:dyDescent="0.35">
      <c r="A281" t="s">
        <v>67</v>
      </c>
      <c r="B281" t="s">
        <v>198</v>
      </c>
      <c r="C281" t="s">
        <v>125</v>
      </c>
      <c r="D281">
        <v>15</v>
      </c>
      <c r="E281" s="1">
        <v>330</v>
      </c>
      <c r="F281">
        <f>D281*E281</f>
        <v>4950</v>
      </c>
    </row>
    <row r="283" spans="1:6" x14ac:dyDescent="0.35">
      <c r="A283" t="s">
        <v>69</v>
      </c>
      <c r="B283" t="s">
        <v>197</v>
      </c>
      <c r="C283" t="s">
        <v>125</v>
      </c>
      <c r="D283">
        <v>5</v>
      </c>
      <c r="F283">
        <f>D283*E283</f>
        <v>0</v>
      </c>
    </row>
    <row r="285" spans="1:6" x14ac:dyDescent="0.35">
      <c r="A285" t="s">
        <v>71</v>
      </c>
      <c r="B285" t="s">
        <v>199</v>
      </c>
      <c r="C285" t="s">
        <v>180</v>
      </c>
      <c r="D285">
        <v>8</v>
      </c>
      <c r="F285">
        <f>D285*E285</f>
        <v>0</v>
      </c>
    </row>
    <row r="287" spans="1:6" x14ac:dyDescent="0.35">
      <c r="A287" t="s">
        <v>73</v>
      </c>
      <c r="B287" t="s">
        <v>200</v>
      </c>
      <c r="C287" t="s">
        <v>180</v>
      </c>
      <c r="D287">
        <v>4</v>
      </c>
      <c r="F287">
        <f>D287*E287</f>
        <v>0</v>
      </c>
    </row>
    <row r="289" spans="1:6" x14ac:dyDescent="0.35">
      <c r="A289" t="s">
        <v>75</v>
      </c>
      <c r="B289" t="s">
        <v>201</v>
      </c>
      <c r="C289" t="s">
        <v>125</v>
      </c>
      <c r="D289">
        <v>12</v>
      </c>
      <c r="F289">
        <f>D289*E289</f>
        <v>0</v>
      </c>
    </row>
    <row r="291" spans="1:6" x14ac:dyDescent="0.35">
      <c r="A291" t="s">
        <v>77</v>
      </c>
      <c r="B291" t="s">
        <v>202</v>
      </c>
      <c r="C291" t="s">
        <v>125</v>
      </c>
      <c r="D291">
        <v>19</v>
      </c>
      <c r="F291">
        <f>D291*E291</f>
        <v>0</v>
      </c>
    </row>
    <row r="293" spans="1:6" x14ac:dyDescent="0.35">
      <c r="A293" t="s">
        <v>79</v>
      </c>
      <c r="B293" t="s">
        <v>203</v>
      </c>
      <c r="C293" t="s">
        <v>125</v>
      </c>
      <c r="D293">
        <v>48</v>
      </c>
      <c r="F293">
        <f>D293*E293</f>
        <v>0</v>
      </c>
    </row>
    <row r="295" spans="1:6" x14ac:dyDescent="0.35">
      <c r="A295" t="s">
        <v>81</v>
      </c>
      <c r="B295" t="s">
        <v>204</v>
      </c>
      <c r="C295" t="s">
        <v>180</v>
      </c>
      <c r="D295">
        <v>16</v>
      </c>
      <c r="F295">
        <f>D295*E295</f>
        <v>0</v>
      </c>
    </row>
    <row r="297" spans="1:6" x14ac:dyDescent="0.35">
      <c r="A297" t="s">
        <v>84</v>
      </c>
      <c r="B297" t="s">
        <v>205</v>
      </c>
      <c r="C297" t="s">
        <v>180</v>
      </c>
      <c r="D297">
        <v>32</v>
      </c>
      <c r="E297" s="1">
        <v>165</v>
      </c>
      <c r="F297">
        <f>D297*E297</f>
        <v>5280</v>
      </c>
    </row>
    <row r="299" spans="1:6" x14ac:dyDescent="0.35">
      <c r="B299" t="s">
        <v>206</v>
      </c>
    </row>
    <row r="301" spans="1:6" x14ac:dyDescent="0.35">
      <c r="A301" t="s">
        <v>86</v>
      </c>
      <c r="B301" t="s">
        <v>207</v>
      </c>
      <c r="C301" t="s">
        <v>60</v>
      </c>
      <c r="D301">
        <v>12</v>
      </c>
      <c r="F301">
        <f>D301*E301</f>
        <v>0</v>
      </c>
    </row>
    <row r="303" spans="1:6" x14ac:dyDescent="0.35">
      <c r="A303" t="s">
        <v>90</v>
      </c>
      <c r="B303" t="s">
        <v>208</v>
      </c>
      <c r="C303" t="s">
        <v>60</v>
      </c>
      <c r="D303">
        <v>8</v>
      </c>
      <c r="F303">
        <f>D303*E303</f>
        <v>0</v>
      </c>
    </row>
    <row r="305" spans="1:6" x14ac:dyDescent="0.35">
      <c r="B305" t="s">
        <v>184</v>
      </c>
    </row>
    <row r="307" spans="1:6" x14ac:dyDescent="0.35">
      <c r="B307" t="s">
        <v>185</v>
      </c>
    </row>
    <row r="309" spans="1:6" x14ac:dyDescent="0.35">
      <c r="A309" t="s">
        <v>93</v>
      </c>
      <c r="B309" t="s">
        <v>209</v>
      </c>
      <c r="C309" t="s">
        <v>125</v>
      </c>
      <c r="D309">
        <v>121</v>
      </c>
      <c r="F309">
        <f>D309*E309</f>
        <v>0</v>
      </c>
    </row>
    <row r="311" spans="1:6" x14ac:dyDescent="0.35">
      <c r="B311" t="s">
        <v>210</v>
      </c>
      <c r="E311" t="s">
        <v>50</v>
      </c>
      <c r="F311">
        <f>SUM(F267:F310)</f>
        <v>17270</v>
      </c>
    </row>
    <row r="313" spans="1:6" x14ac:dyDescent="0.35">
      <c r="A313">
        <v>7</v>
      </c>
      <c r="B313" t="s">
        <v>211</v>
      </c>
    </row>
    <row r="315" spans="1:6" x14ac:dyDescent="0.35">
      <c r="B315" t="s">
        <v>212</v>
      </c>
    </row>
    <row r="317" spans="1:6" x14ac:dyDescent="0.35">
      <c r="B317" t="s">
        <v>213</v>
      </c>
    </row>
    <row r="319" spans="1:6" x14ac:dyDescent="0.35">
      <c r="A319" t="s">
        <v>44</v>
      </c>
      <c r="B319" t="s">
        <v>214</v>
      </c>
    </row>
    <row r="321" spans="1:6" x14ac:dyDescent="0.35">
      <c r="B321" t="s">
        <v>215</v>
      </c>
    </row>
    <row r="322" spans="1:6" x14ac:dyDescent="0.35">
      <c r="B322" t="s">
        <v>216</v>
      </c>
    </row>
    <row r="323" spans="1:6" x14ac:dyDescent="0.35">
      <c r="B323" t="s">
        <v>217</v>
      </c>
    </row>
    <row r="324" spans="1:6" x14ac:dyDescent="0.35">
      <c r="B324" t="s">
        <v>218</v>
      </c>
    </row>
    <row r="325" spans="1:6" x14ac:dyDescent="0.35">
      <c r="B325" t="s">
        <v>219</v>
      </c>
    </row>
    <row r="326" spans="1:6" x14ac:dyDescent="0.35">
      <c r="B326" t="s">
        <v>220</v>
      </c>
    </row>
    <row r="328" spans="1:6" x14ac:dyDescent="0.35">
      <c r="B328" t="s">
        <v>221</v>
      </c>
      <c r="C328" t="s">
        <v>180</v>
      </c>
      <c r="D328">
        <v>1</v>
      </c>
      <c r="F328">
        <f>D328*E328</f>
        <v>0</v>
      </c>
    </row>
    <row r="330" spans="1:6" s="2" customFormat="1" x14ac:dyDescent="0.35">
      <c r="B330" s="2" t="s">
        <v>222</v>
      </c>
    </row>
    <row r="332" spans="1:6" x14ac:dyDescent="0.35">
      <c r="A332" t="s">
        <v>47</v>
      </c>
      <c r="B332" t="s">
        <v>223</v>
      </c>
      <c r="C332" t="s">
        <v>125</v>
      </c>
      <c r="D332">
        <v>28</v>
      </c>
      <c r="F332">
        <f>D332*E332</f>
        <v>0</v>
      </c>
    </row>
    <row r="334" spans="1:6" x14ac:dyDescent="0.35">
      <c r="A334" t="s">
        <v>62</v>
      </c>
      <c r="B334" t="s">
        <v>224</v>
      </c>
      <c r="C334" t="s">
        <v>225</v>
      </c>
      <c r="D334">
        <v>2</v>
      </c>
      <c r="E334" s="1">
        <v>1320</v>
      </c>
      <c r="F334">
        <f>D334*E334</f>
        <v>2640</v>
      </c>
    </row>
    <row r="336" spans="1:6" x14ac:dyDescent="0.35">
      <c r="A336" t="s">
        <v>65</v>
      </c>
      <c r="B336" t="s">
        <v>226</v>
      </c>
      <c r="C336" t="s">
        <v>225</v>
      </c>
      <c r="D336">
        <v>2</v>
      </c>
      <c r="E336" s="1">
        <v>1320</v>
      </c>
      <c r="F336">
        <f>D336*E336</f>
        <v>2640</v>
      </c>
    </row>
    <row r="338" spans="1:6" x14ac:dyDescent="0.35">
      <c r="A338" t="s">
        <v>67</v>
      </c>
      <c r="B338" t="s">
        <v>227</v>
      </c>
      <c r="C338" t="s">
        <v>225</v>
      </c>
      <c r="D338">
        <v>2</v>
      </c>
      <c r="E338" s="1">
        <v>2200</v>
      </c>
      <c r="F338">
        <f>D338*E338</f>
        <v>4400</v>
      </c>
    </row>
    <row r="340" spans="1:6" x14ac:dyDescent="0.35">
      <c r="A340" t="s">
        <v>69</v>
      </c>
      <c r="B340" t="s">
        <v>228</v>
      </c>
      <c r="C340" t="s">
        <v>225</v>
      </c>
      <c r="D340">
        <v>2</v>
      </c>
      <c r="E340" s="1">
        <v>2200</v>
      </c>
      <c r="F340">
        <f>D340*E340</f>
        <v>4400</v>
      </c>
    </row>
    <row r="342" spans="1:6" x14ac:dyDescent="0.35">
      <c r="A342" t="s">
        <v>71</v>
      </c>
      <c r="B342" t="s">
        <v>229</v>
      </c>
      <c r="C342" t="s">
        <v>225</v>
      </c>
      <c r="D342">
        <v>2</v>
      </c>
      <c r="E342" s="1">
        <v>2200</v>
      </c>
      <c r="F342">
        <f>D342*E342</f>
        <v>4400</v>
      </c>
    </row>
    <row r="344" spans="1:6" x14ac:dyDescent="0.35">
      <c r="B344" s="2" t="s">
        <v>230</v>
      </c>
    </row>
    <row r="346" spans="1:6" x14ac:dyDescent="0.35">
      <c r="B346" t="s">
        <v>231</v>
      </c>
    </row>
    <row r="348" spans="1:6" x14ac:dyDescent="0.35">
      <c r="A348" t="s">
        <v>73</v>
      </c>
      <c r="B348" t="s">
        <v>232</v>
      </c>
      <c r="C348" t="s">
        <v>233</v>
      </c>
      <c r="D348">
        <v>8</v>
      </c>
      <c r="E348" s="1">
        <v>1320</v>
      </c>
      <c r="F348">
        <f>D348*E348</f>
        <v>10560</v>
      </c>
    </row>
    <row r="350" spans="1:6" x14ac:dyDescent="0.35">
      <c r="B350" t="s">
        <v>234</v>
      </c>
    </row>
    <row r="352" spans="1:6" x14ac:dyDescent="0.35">
      <c r="B352" t="s">
        <v>235</v>
      </c>
    </row>
    <row r="354" spans="1:6" x14ac:dyDescent="0.35">
      <c r="A354" t="s">
        <v>75</v>
      </c>
      <c r="B354" t="s">
        <v>236</v>
      </c>
      <c r="C354" t="s">
        <v>180</v>
      </c>
      <c r="D354">
        <v>2</v>
      </c>
      <c r="E354" s="1">
        <v>440</v>
      </c>
      <c r="F354">
        <f>D354*E354</f>
        <v>880</v>
      </c>
    </row>
    <row r="356" spans="1:6" x14ac:dyDescent="0.35">
      <c r="A356" t="s">
        <v>77</v>
      </c>
      <c r="B356" t="s">
        <v>237</v>
      </c>
      <c r="C356" t="s">
        <v>233</v>
      </c>
      <c r="D356">
        <v>1</v>
      </c>
      <c r="E356" s="1">
        <v>4950</v>
      </c>
      <c r="F356">
        <f>D356*E356</f>
        <v>4950</v>
      </c>
    </row>
    <row r="358" spans="1:6" x14ac:dyDescent="0.35">
      <c r="B358" t="s">
        <v>238</v>
      </c>
    </row>
    <row r="360" spans="1:6" x14ac:dyDescent="0.35">
      <c r="B360" t="s">
        <v>239</v>
      </c>
    </row>
    <row r="362" spans="1:6" x14ac:dyDescent="0.35">
      <c r="A362" t="s">
        <v>79</v>
      </c>
      <c r="B362" t="s">
        <v>240</v>
      </c>
      <c r="C362" t="s">
        <v>233</v>
      </c>
      <c r="D362">
        <v>4</v>
      </c>
      <c r="E362" s="1">
        <v>495</v>
      </c>
      <c r="F362">
        <f>D362*E362</f>
        <v>1980</v>
      </c>
    </row>
    <row r="364" spans="1:6" x14ac:dyDescent="0.35">
      <c r="B364" t="s">
        <v>241</v>
      </c>
    </row>
    <row r="366" spans="1:6" x14ac:dyDescent="0.35">
      <c r="B366" t="s">
        <v>242</v>
      </c>
    </row>
    <row r="368" spans="1:6" x14ac:dyDescent="0.35">
      <c r="A368" t="s">
        <v>81</v>
      </c>
      <c r="B368" t="s">
        <v>243</v>
      </c>
      <c r="C368" t="s">
        <v>180</v>
      </c>
      <c r="D368">
        <v>6</v>
      </c>
      <c r="E368" s="1">
        <v>4950</v>
      </c>
      <c r="F368">
        <f>D368*E368</f>
        <v>29700</v>
      </c>
    </row>
    <row r="370" spans="1:6" x14ac:dyDescent="0.35">
      <c r="A370" t="s">
        <v>84</v>
      </c>
      <c r="B370" t="s">
        <v>244</v>
      </c>
      <c r="C370" t="s">
        <v>180</v>
      </c>
      <c r="D370">
        <v>4</v>
      </c>
      <c r="E370" s="1">
        <v>880</v>
      </c>
      <c r="F370">
        <f>D370*E370</f>
        <v>3520</v>
      </c>
    </row>
    <row r="372" spans="1:6" s="2" customFormat="1" x14ac:dyDescent="0.35">
      <c r="B372" s="2" t="s">
        <v>245</v>
      </c>
      <c r="E372" s="2" t="s">
        <v>50</v>
      </c>
      <c r="F372" s="2">
        <f>SUM(F319:F370)</f>
        <v>70070</v>
      </c>
    </row>
    <row r="374" spans="1:6" s="2" customFormat="1" x14ac:dyDescent="0.35">
      <c r="A374" s="2">
        <v>8</v>
      </c>
      <c r="B374" s="2" t="s">
        <v>246</v>
      </c>
    </row>
    <row r="376" spans="1:6" x14ac:dyDescent="0.35">
      <c r="B376" t="s">
        <v>247</v>
      </c>
    </row>
    <row r="378" spans="1:6" x14ac:dyDescent="0.35">
      <c r="B378" t="s">
        <v>248</v>
      </c>
    </row>
    <row r="380" spans="1:6" x14ac:dyDescent="0.35">
      <c r="A380" t="s">
        <v>44</v>
      </c>
      <c r="B380" t="s">
        <v>249</v>
      </c>
      <c r="C380" t="s">
        <v>60</v>
      </c>
      <c r="D380">
        <v>128</v>
      </c>
      <c r="F380">
        <f>D380*E380</f>
        <v>0</v>
      </c>
    </row>
    <row r="382" spans="1:6" x14ac:dyDescent="0.35">
      <c r="A382" t="s">
        <v>47</v>
      </c>
      <c r="B382" t="s">
        <v>250</v>
      </c>
      <c r="C382" t="s">
        <v>125</v>
      </c>
      <c r="D382">
        <v>43</v>
      </c>
      <c r="F382">
        <f>D382*E382</f>
        <v>0</v>
      </c>
    </row>
    <row r="384" spans="1:6" x14ac:dyDescent="0.35">
      <c r="B384" t="s">
        <v>251</v>
      </c>
    </row>
    <row r="386" spans="1:6" x14ac:dyDescent="0.35">
      <c r="B386" t="s">
        <v>247</v>
      </c>
    </row>
    <row r="388" spans="1:6" x14ac:dyDescent="0.35">
      <c r="B388" t="s">
        <v>252</v>
      </c>
    </row>
    <row r="390" spans="1:6" x14ac:dyDescent="0.35">
      <c r="A390" t="s">
        <v>62</v>
      </c>
      <c r="B390" t="s">
        <v>253</v>
      </c>
      <c r="C390" t="s">
        <v>60</v>
      </c>
      <c r="D390">
        <v>164</v>
      </c>
      <c r="E390" s="1">
        <v>187</v>
      </c>
      <c r="F390">
        <f>D390*E390</f>
        <v>30668</v>
      </c>
    </row>
    <row r="392" spans="1:6" x14ac:dyDescent="0.35">
      <c r="A392" t="s">
        <v>65</v>
      </c>
      <c r="B392" t="s">
        <v>254</v>
      </c>
      <c r="C392" t="s">
        <v>125</v>
      </c>
      <c r="D392">
        <v>48</v>
      </c>
      <c r="E392" s="1">
        <v>49.5</v>
      </c>
      <c r="F392">
        <f>D392*E392</f>
        <v>2376</v>
      </c>
    </row>
    <row r="394" spans="1:6" x14ac:dyDescent="0.35">
      <c r="B394" t="s">
        <v>255</v>
      </c>
    </row>
    <row r="396" spans="1:6" x14ac:dyDescent="0.35">
      <c r="A396" t="s">
        <v>67</v>
      </c>
      <c r="B396" t="s">
        <v>253</v>
      </c>
      <c r="C396" t="s">
        <v>60</v>
      </c>
      <c r="D396">
        <v>178</v>
      </c>
      <c r="E396" s="1">
        <v>236.5</v>
      </c>
      <c r="F396">
        <f>D396*E396</f>
        <v>42097</v>
      </c>
    </row>
    <row r="398" spans="1:6" x14ac:dyDescent="0.35">
      <c r="A398" t="s">
        <v>69</v>
      </c>
      <c r="B398" t="s">
        <v>254</v>
      </c>
      <c r="C398" t="s">
        <v>125</v>
      </c>
      <c r="D398">
        <v>48</v>
      </c>
      <c r="E398" s="1">
        <v>71.5</v>
      </c>
      <c r="F398">
        <f>D398*E398</f>
        <v>3432</v>
      </c>
    </row>
    <row r="400" spans="1:6" x14ac:dyDescent="0.35">
      <c r="B400" t="s">
        <v>256</v>
      </c>
      <c r="E400" t="s">
        <v>50</v>
      </c>
      <c r="F400">
        <f>SUM(F380:F398)</f>
        <v>78573</v>
      </c>
    </row>
    <row r="402" spans="1:6" s="2" customFormat="1" x14ac:dyDescent="0.35">
      <c r="A402" s="2">
        <v>9</v>
      </c>
      <c r="B402" s="2" t="s">
        <v>257</v>
      </c>
    </row>
    <row r="404" spans="1:6" x14ac:dyDescent="0.35">
      <c r="B404" t="s">
        <v>258</v>
      </c>
    </row>
    <row r="406" spans="1:6" x14ac:dyDescent="0.35">
      <c r="A406" t="s">
        <v>44</v>
      </c>
      <c r="B406" t="s">
        <v>259</v>
      </c>
      <c r="C406" t="s">
        <v>60</v>
      </c>
      <c r="D406">
        <v>164</v>
      </c>
      <c r="E406" s="1">
        <v>132</v>
      </c>
      <c r="F406">
        <f>D406*E406</f>
        <v>21648</v>
      </c>
    </row>
    <row r="408" spans="1:6" x14ac:dyDescent="0.35">
      <c r="A408" t="s">
        <v>47</v>
      </c>
      <c r="B408" t="s">
        <v>260</v>
      </c>
      <c r="C408" t="s">
        <v>60</v>
      </c>
      <c r="D408">
        <v>178</v>
      </c>
      <c r="E408" s="1">
        <v>165</v>
      </c>
      <c r="F408">
        <f>D408*E408</f>
        <v>29370</v>
      </c>
    </row>
    <row r="410" spans="1:6" x14ac:dyDescent="0.35">
      <c r="B410" t="s">
        <v>261</v>
      </c>
      <c r="F410">
        <f>D410*E410</f>
        <v>0</v>
      </c>
    </row>
    <row r="412" spans="1:6" x14ac:dyDescent="0.35">
      <c r="A412" t="s">
        <v>62</v>
      </c>
      <c r="B412" t="s">
        <v>262</v>
      </c>
      <c r="C412" t="s">
        <v>60</v>
      </c>
      <c r="D412">
        <v>28</v>
      </c>
      <c r="F412">
        <f>D412*E412</f>
        <v>0</v>
      </c>
    </row>
    <row r="414" spans="1:6" x14ac:dyDescent="0.35">
      <c r="A414" t="s">
        <v>65</v>
      </c>
      <c r="B414" t="s">
        <v>263</v>
      </c>
      <c r="C414" t="s">
        <v>60</v>
      </c>
      <c r="D414">
        <v>32</v>
      </c>
      <c r="E414" s="1">
        <v>198</v>
      </c>
      <c r="F414">
        <f>D414*E414</f>
        <v>6336</v>
      </c>
    </row>
    <row r="416" spans="1:6" x14ac:dyDescent="0.35">
      <c r="B416" t="s">
        <v>264</v>
      </c>
      <c r="E416" t="s">
        <v>50</v>
      </c>
      <c r="F416">
        <f>SUM(F406:F414)</f>
        <v>57354</v>
      </c>
    </row>
    <row r="417" spans="1:6" x14ac:dyDescent="0.35">
      <c r="A417" s="3"/>
      <c r="B417" s="3"/>
      <c r="C417" s="3"/>
      <c r="D417" s="3"/>
      <c r="E417" s="3"/>
    </row>
    <row r="418" spans="1:6" x14ac:dyDescent="0.35">
      <c r="A418" s="3"/>
      <c r="B418" s="6" t="s">
        <v>51</v>
      </c>
      <c r="C418" s="6"/>
      <c r="D418" s="6"/>
      <c r="E418" s="6"/>
    </row>
    <row r="419" spans="1:6" x14ac:dyDescent="0.35">
      <c r="A419" s="3"/>
      <c r="B419" s="6" t="s">
        <v>52</v>
      </c>
      <c r="C419" s="6"/>
      <c r="D419" s="6"/>
      <c r="E419" s="6"/>
    </row>
    <row r="420" spans="1:6" x14ac:dyDescent="0.35">
      <c r="A420" s="3"/>
      <c r="B420" s="6" t="s">
        <v>265</v>
      </c>
      <c r="C420" s="6"/>
      <c r="D420" s="6"/>
      <c r="E420" s="6"/>
    </row>
    <row r="424" spans="1:6" s="2" customFormat="1" x14ac:dyDescent="0.35">
      <c r="A424" s="2" t="s">
        <v>5</v>
      </c>
      <c r="B424" s="2" t="s">
        <v>6</v>
      </c>
      <c r="C424" s="2" t="s">
        <v>7</v>
      </c>
      <c r="D424" s="2" t="s">
        <v>8</v>
      </c>
      <c r="E424" s="2" t="s">
        <v>9</v>
      </c>
      <c r="F424" s="2" t="s">
        <v>10</v>
      </c>
    </row>
    <row r="425" spans="1:6" x14ac:dyDescent="0.35">
      <c r="A425">
        <v>1</v>
      </c>
      <c r="B425" t="s">
        <v>54</v>
      </c>
      <c r="F425">
        <f>F160</f>
        <v>442690.6</v>
      </c>
    </row>
    <row r="427" spans="1:6" x14ac:dyDescent="0.35">
      <c r="A427">
        <v>2</v>
      </c>
      <c r="B427" t="s">
        <v>266</v>
      </c>
      <c r="F427">
        <f>F187</f>
        <v>29271</v>
      </c>
    </row>
    <row r="429" spans="1:6" x14ac:dyDescent="0.35">
      <c r="A429">
        <v>3</v>
      </c>
      <c r="B429" t="s">
        <v>267</v>
      </c>
      <c r="F429">
        <f>F205</f>
        <v>98928.5</v>
      </c>
    </row>
    <row r="431" spans="1:6" x14ac:dyDescent="0.35">
      <c r="A431">
        <v>4</v>
      </c>
      <c r="B431" t="s">
        <v>268</v>
      </c>
      <c r="F431">
        <f>F223</f>
        <v>25525.5</v>
      </c>
    </row>
    <row r="433" spans="1:6" x14ac:dyDescent="0.35">
      <c r="A433">
        <v>5</v>
      </c>
      <c r="B433" t="s">
        <v>169</v>
      </c>
      <c r="F433">
        <f>F259</f>
        <v>885990.6</v>
      </c>
    </row>
    <row r="435" spans="1:6" x14ac:dyDescent="0.35">
      <c r="A435">
        <v>6</v>
      </c>
      <c r="B435" t="s">
        <v>188</v>
      </c>
      <c r="F435">
        <f>F311</f>
        <v>17270</v>
      </c>
    </row>
    <row r="437" spans="1:6" x14ac:dyDescent="0.35">
      <c r="A437">
        <v>7</v>
      </c>
      <c r="B437" t="s">
        <v>269</v>
      </c>
      <c r="F437">
        <f>F372</f>
        <v>70070</v>
      </c>
    </row>
    <row r="439" spans="1:6" x14ac:dyDescent="0.35">
      <c r="A439">
        <v>8</v>
      </c>
      <c r="B439" t="s">
        <v>270</v>
      </c>
      <c r="F439">
        <f>F400</f>
        <v>78573</v>
      </c>
    </row>
    <row r="441" spans="1:6" x14ac:dyDescent="0.35">
      <c r="A441">
        <v>9</v>
      </c>
      <c r="B441" t="s">
        <v>271</v>
      </c>
      <c r="F441">
        <f>F416</f>
        <v>57354</v>
      </c>
    </row>
    <row r="443" spans="1:6" x14ac:dyDescent="0.35">
      <c r="B443" t="s">
        <v>272</v>
      </c>
      <c r="E443" t="s">
        <v>50</v>
      </c>
      <c r="F443">
        <f>SUM(F425:F441)</f>
        <v>1705673.2</v>
      </c>
    </row>
    <row r="444" spans="1:6" x14ac:dyDescent="0.35">
      <c r="A444" s="5"/>
      <c r="B444" s="5"/>
      <c r="C444" s="5"/>
      <c r="D444" s="5"/>
      <c r="E444" s="5"/>
      <c r="F444" s="5"/>
    </row>
    <row r="445" spans="1:6" x14ac:dyDescent="0.35">
      <c r="A445" s="3"/>
      <c r="B445" s="6" t="s">
        <v>273</v>
      </c>
      <c r="C445" s="6"/>
      <c r="D445" s="6"/>
      <c r="E445" s="6"/>
    </row>
    <row r="446" spans="1:6" x14ac:dyDescent="0.35">
      <c r="A446" s="3"/>
      <c r="B446" s="6" t="s">
        <v>274</v>
      </c>
      <c r="C446" s="6"/>
      <c r="D446" s="6"/>
      <c r="E446" s="6"/>
    </row>
    <row r="447" spans="1:6" x14ac:dyDescent="0.35">
      <c r="B447" s="5"/>
      <c r="C447" s="5"/>
      <c r="D447" s="5"/>
      <c r="E447" s="5"/>
    </row>
    <row r="448" spans="1:6" s="2" customFormat="1" x14ac:dyDescent="0.35">
      <c r="A448" s="2" t="s">
        <v>5</v>
      </c>
      <c r="B448" s="2" t="s">
        <v>6</v>
      </c>
      <c r="C448" s="2" t="s">
        <v>7</v>
      </c>
      <c r="D448" s="2" t="s">
        <v>8</v>
      </c>
      <c r="E448" s="2" t="s">
        <v>9</v>
      </c>
      <c r="F448" s="2" t="s">
        <v>10</v>
      </c>
    </row>
    <row r="450" spans="1:6" x14ac:dyDescent="0.35">
      <c r="A450">
        <v>1</v>
      </c>
      <c r="B450" t="s">
        <v>54</v>
      </c>
    </row>
    <row r="452" spans="1:6" x14ac:dyDescent="0.35">
      <c r="B452" t="s">
        <v>55</v>
      </c>
    </row>
    <row r="454" spans="1:6" x14ac:dyDescent="0.35">
      <c r="B454" t="s">
        <v>57</v>
      </c>
    </row>
    <row r="456" spans="1:6" x14ac:dyDescent="0.35">
      <c r="B456" t="s">
        <v>275</v>
      </c>
    </row>
    <row r="458" spans="1:6" x14ac:dyDescent="0.35">
      <c r="A458" t="s">
        <v>44</v>
      </c>
      <c r="B458" t="s">
        <v>276</v>
      </c>
      <c r="C458" t="s">
        <v>64</v>
      </c>
      <c r="D458">
        <v>7</v>
      </c>
      <c r="E458" s="1">
        <v>154</v>
      </c>
      <c r="F458">
        <f>D458*E458</f>
        <v>1078</v>
      </c>
    </row>
    <row r="460" spans="1:6" x14ac:dyDescent="0.35">
      <c r="A460" t="s">
        <v>47</v>
      </c>
      <c r="B460" t="s">
        <v>277</v>
      </c>
      <c r="C460" t="s">
        <v>64</v>
      </c>
      <c r="D460">
        <v>1</v>
      </c>
      <c r="E460" s="1">
        <v>220</v>
      </c>
      <c r="F460">
        <f>D460*E460</f>
        <v>220</v>
      </c>
    </row>
    <row r="462" spans="1:6" x14ac:dyDescent="0.35">
      <c r="A462" t="s">
        <v>62</v>
      </c>
      <c r="B462" t="s">
        <v>278</v>
      </c>
      <c r="C462" t="s">
        <v>64</v>
      </c>
      <c r="D462">
        <v>4</v>
      </c>
      <c r="E462" s="1">
        <v>66</v>
      </c>
      <c r="F462">
        <f>D462*E462</f>
        <v>264</v>
      </c>
    </row>
    <row r="464" spans="1:6" x14ac:dyDescent="0.35">
      <c r="A464" t="s">
        <v>65</v>
      </c>
      <c r="B464" t="s">
        <v>279</v>
      </c>
      <c r="C464" t="s">
        <v>64</v>
      </c>
      <c r="D464">
        <v>3</v>
      </c>
      <c r="E464" s="1">
        <v>132</v>
      </c>
      <c r="F464">
        <f>D464*E464</f>
        <v>396</v>
      </c>
    </row>
    <row r="466" spans="1:6" x14ac:dyDescent="0.35">
      <c r="B466" t="s">
        <v>280</v>
      </c>
    </row>
    <row r="468" spans="1:6" x14ac:dyDescent="0.35">
      <c r="A468" t="s">
        <v>67</v>
      </c>
      <c r="B468" t="s">
        <v>281</v>
      </c>
      <c r="C468" t="s">
        <v>60</v>
      </c>
      <c r="D468">
        <v>56</v>
      </c>
      <c r="F468">
        <f>D468*E468</f>
        <v>0</v>
      </c>
    </row>
    <row r="470" spans="1:6" x14ac:dyDescent="0.35">
      <c r="B470" t="s">
        <v>282</v>
      </c>
    </row>
    <row r="472" spans="1:6" x14ac:dyDescent="0.35">
      <c r="A472" t="s">
        <v>69</v>
      </c>
      <c r="B472" t="s">
        <v>283</v>
      </c>
      <c r="C472" t="s">
        <v>46</v>
      </c>
      <c r="D472">
        <v>1</v>
      </c>
      <c r="E472" s="1">
        <v>3300</v>
      </c>
      <c r="F472">
        <f>D472*E472</f>
        <v>3300</v>
      </c>
    </row>
    <row r="474" spans="1:6" x14ac:dyDescent="0.35">
      <c r="B474" t="s">
        <v>284</v>
      </c>
    </row>
    <row r="476" spans="1:6" x14ac:dyDescent="0.35">
      <c r="A476" t="s">
        <v>71</v>
      </c>
      <c r="B476" t="s">
        <v>285</v>
      </c>
      <c r="C476" t="s">
        <v>60</v>
      </c>
      <c r="D476">
        <v>11</v>
      </c>
      <c r="F476">
        <f>D476*E476</f>
        <v>0</v>
      </c>
    </row>
    <row r="478" spans="1:6" x14ac:dyDescent="0.35">
      <c r="B478" t="s">
        <v>286</v>
      </c>
    </row>
    <row r="480" spans="1:6" x14ac:dyDescent="0.35">
      <c r="A480" t="s">
        <v>73</v>
      </c>
      <c r="B480" t="s">
        <v>287</v>
      </c>
      <c r="C480" t="s">
        <v>64</v>
      </c>
      <c r="D480">
        <v>6</v>
      </c>
      <c r="E480" s="1">
        <v>253</v>
      </c>
      <c r="F480">
        <f>D480*E480</f>
        <v>1518</v>
      </c>
    </row>
    <row r="482" spans="1:6" x14ac:dyDescent="0.35">
      <c r="B482" t="s">
        <v>288</v>
      </c>
    </row>
    <row r="484" spans="1:6" x14ac:dyDescent="0.35">
      <c r="A484" t="s">
        <v>75</v>
      </c>
      <c r="B484" t="s">
        <v>289</v>
      </c>
      <c r="C484" t="s">
        <v>60</v>
      </c>
      <c r="D484">
        <v>12</v>
      </c>
      <c r="F484">
        <f>D484*E484</f>
        <v>0</v>
      </c>
    </row>
    <row r="486" spans="1:6" x14ac:dyDescent="0.35">
      <c r="B486" t="s">
        <v>290</v>
      </c>
    </row>
    <row r="488" spans="1:6" x14ac:dyDescent="0.35">
      <c r="B488" t="s">
        <v>291</v>
      </c>
    </row>
    <row r="490" spans="1:6" x14ac:dyDescent="0.35">
      <c r="A490" t="s">
        <v>77</v>
      </c>
      <c r="B490" t="s">
        <v>292</v>
      </c>
      <c r="C490" t="s">
        <v>60</v>
      </c>
      <c r="D490">
        <v>18</v>
      </c>
      <c r="E490" s="1">
        <v>770</v>
      </c>
      <c r="F490">
        <f>D490*E490</f>
        <v>13860</v>
      </c>
    </row>
    <row r="492" spans="1:6" x14ac:dyDescent="0.35">
      <c r="B492" t="s">
        <v>293</v>
      </c>
    </row>
    <row r="494" spans="1:6" x14ac:dyDescent="0.35">
      <c r="A494" t="s">
        <v>79</v>
      </c>
      <c r="B494" t="s">
        <v>294</v>
      </c>
      <c r="C494" t="s">
        <v>64</v>
      </c>
      <c r="D494">
        <v>2</v>
      </c>
      <c r="E494" s="1">
        <v>3630</v>
      </c>
      <c r="F494">
        <f>D494*E494</f>
        <v>7260</v>
      </c>
    </row>
    <row r="496" spans="1:6" x14ac:dyDescent="0.35">
      <c r="B496" t="s">
        <v>295</v>
      </c>
    </row>
    <row r="498" spans="1:6" x14ac:dyDescent="0.35">
      <c r="A498" t="s">
        <v>81</v>
      </c>
      <c r="B498" t="s">
        <v>296</v>
      </c>
      <c r="C498" t="s">
        <v>64</v>
      </c>
      <c r="D498">
        <v>1</v>
      </c>
      <c r="E498" s="1">
        <v>3630</v>
      </c>
      <c r="F498">
        <f>D498*E498</f>
        <v>3630</v>
      </c>
    </row>
    <row r="500" spans="1:6" x14ac:dyDescent="0.35">
      <c r="B500" t="s">
        <v>297</v>
      </c>
    </row>
    <row r="502" spans="1:6" x14ac:dyDescent="0.35">
      <c r="B502" t="s">
        <v>298</v>
      </c>
    </row>
    <row r="504" spans="1:6" x14ac:dyDescent="0.35">
      <c r="A504" t="s">
        <v>84</v>
      </c>
      <c r="B504" t="s">
        <v>299</v>
      </c>
      <c r="C504" t="s">
        <v>60</v>
      </c>
      <c r="D504">
        <v>12</v>
      </c>
      <c r="E504" s="1">
        <v>572</v>
      </c>
      <c r="F504">
        <f>D504*E504</f>
        <v>6864</v>
      </c>
    </row>
    <row r="506" spans="1:6" x14ac:dyDescent="0.35">
      <c r="B506" t="s">
        <v>120</v>
      </c>
    </row>
    <row r="508" spans="1:6" x14ac:dyDescent="0.35">
      <c r="A508" t="s">
        <v>86</v>
      </c>
      <c r="B508" t="s">
        <v>300</v>
      </c>
      <c r="C508" t="s">
        <v>125</v>
      </c>
      <c r="D508">
        <v>16</v>
      </c>
      <c r="E508" s="1">
        <v>49.5</v>
      </c>
      <c r="F508">
        <f>D508*E508</f>
        <v>792</v>
      </c>
    </row>
    <row r="510" spans="1:6" x14ac:dyDescent="0.35">
      <c r="B510" t="s">
        <v>301</v>
      </c>
    </row>
    <row r="512" spans="1:6" x14ac:dyDescent="0.35">
      <c r="B512" t="s">
        <v>127</v>
      </c>
    </row>
    <row r="514" spans="1:6" x14ac:dyDescent="0.35">
      <c r="A514" t="s">
        <v>90</v>
      </c>
      <c r="B514" t="s">
        <v>302</v>
      </c>
      <c r="C514" t="s">
        <v>60</v>
      </c>
      <c r="D514">
        <v>14</v>
      </c>
      <c r="E514" s="1">
        <v>412.5</v>
      </c>
      <c r="F514">
        <f>D514*E514</f>
        <v>5775</v>
      </c>
    </row>
    <row r="516" spans="1:6" x14ac:dyDescent="0.35">
      <c r="B516" t="s">
        <v>130</v>
      </c>
    </row>
    <row r="518" spans="1:6" x14ac:dyDescent="0.35">
      <c r="A518" t="s">
        <v>93</v>
      </c>
      <c r="B518" t="s">
        <v>303</v>
      </c>
      <c r="C518" t="s">
        <v>125</v>
      </c>
      <c r="D518">
        <v>18</v>
      </c>
      <c r="E518" s="1">
        <v>14.3</v>
      </c>
      <c r="F518">
        <f>D518*E518</f>
        <v>257.40000000000003</v>
      </c>
    </row>
    <row r="520" spans="1:6" x14ac:dyDescent="0.35">
      <c r="B520" t="s">
        <v>133</v>
      </c>
    </row>
    <row r="522" spans="1:6" x14ac:dyDescent="0.35">
      <c r="A522" t="s">
        <v>95</v>
      </c>
      <c r="B522" t="s">
        <v>135</v>
      </c>
      <c r="C522" t="s">
        <v>60</v>
      </c>
      <c r="D522">
        <v>12</v>
      </c>
      <c r="E522" s="1">
        <v>198</v>
      </c>
      <c r="F522">
        <f>D522*E522</f>
        <v>2376</v>
      </c>
    </row>
    <row r="524" spans="1:6" x14ac:dyDescent="0.35">
      <c r="B524" t="s">
        <v>136</v>
      </c>
    </row>
    <row r="526" spans="1:6" x14ac:dyDescent="0.35">
      <c r="A526" t="s">
        <v>97</v>
      </c>
      <c r="B526" t="s">
        <v>138</v>
      </c>
      <c r="C526" t="s">
        <v>60</v>
      </c>
      <c r="D526">
        <f>D522</f>
        <v>12</v>
      </c>
      <c r="E526" s="1">
        <v>275</v>
      </c>
      <c r="F526">
        <f>D526*E526</f>
        <v>3300</v>
      </c>
    </row>
    <row r="528" spans="1:6" x14ac:dyDescent="0.35">
      <c r="B528" t="s">
        <v>139</v>
      </c>
      <c r="E528" t="s">
        <v>50</v>
      </c>
      <c r="F528">
        <f>SUM(F453:F526)</f>
        <v>50890.400000000001</v>
      </c>
    </row>
    <row r="530" spans="1:6" x14ac:dyDescent="0.35">
      <c r="B530" t="s">
        <v>140</v>
      </c>
    </row>
    <row r="532" spans="1:6" x14ac:dyDescent="0.35">
      <c r="A532">
        <v>2</v>
      </c>
      <c r="B532" t="s">
        <v>141</v>
      </c>
    </row>
    <row r="534" spans="1:6" x14ac:dyDescent="0.35">
      <c r="B534" t="s">
        <v>304</v>
      </c>
    </row>
    <row r="536" spans="1:6" x14ac:dyDescent="0.35">
      <c r="A536" t="s">
        <v>44</v>
      </c>
      <c r="B536" t="s">
        <v>305</v>
      </c>
      <c r="C536" t="s">
        <v>64</v>
      </c>
      <c r="D536">
        <v>1</v>
      </c>
      <c r="E536" s="1">
        <v>3630</v>
      </c>
      <c r="F536">
        <f>D536*E536</f>
        <v>3630</v>
      </c>
    </row>
    <row r="538" spans="1:6" x14ac:dyDescent="0.35">
      <c r="B538" t="s">
        <v>107</v>
      </c>
    </row>
    <row r="540" spans="1:6" x14ac:dyDescent="0.35">
      <c r="B540" t="s">
        <v>306</v>
      </c>
    </row>
    <row r="542" spans="1:6" x14ac:dyDescent="0.35">
      <c r="A542" t="s">
        <v>47</v>
      </c>
      <c r="B542" t="s">
        <v>307</v>
      </c>
      <c r="C542" t="s">
        <v>111</v>
      </c>
      <c r="D542">
        <v>98</v>
      </c>
      <c r="E542" s="1">
        <v>49.5</v>
      </c>
      <c r="F542">
        <f>D542*E542</f>
        <v>4851</v>
      </c>
    </row>
    <row r="544" spans="1:6" x14ac:dyDescent="0.35">
      <c r="B544" t="s">
        <v>120</v>
      </c>
    </row>
    <row r="546" spans="1:6" x14ac:dyDescent="0.35">
      <c r="A546" t="s">
        <v>62</v>
      </c>
      <c r="B546" t="s">
        <v>308</v>
      </c>
      <c r="C546" t="s">
        <v>125</v>
      </c>
      <c r="D546">
        <v>24</v>
      </c>
      <c r="E546" s="1">
        <v>220</v>
      </c>
      <c r="F546">
        <f>D546*E546</f>
        <v>5280</v>
      </c>
    </row>
    <row r="548" spans="1:6" x14ac:dyDescent="0.35">
      <c r="B548" t="s">
        <v>309</v>
      </c>
    </row>
    <row r="550" spans="1:6" x14ac:dyDescent="0.35">
      <c r="A550" t="s">
        <v>65</v>
      </c>
      <c r="B550" t="s">
        <v>310</v>
      </c>
      <c r="C550" t="s">
        <v>125</v>
      </c>
      <c r="D550">
        <v>4</v>
      </c>
      <c r="E550" s="1">
        <v>330</v>
      </c>
      <c r="F550">
        <f>D550*E550</f>
        <v>1320</v>
      </c>
    </row>
    <row r="553" spans="1:6" x14ac:dyDescent="0.35">
      <c r="B553" t="s">
        <v>151</v>
      </c>
      <c r="E553" t="s">
        <v>50</v>
      </c>
      <c r="F553">
        <f>SUM(F534:F551)</f>
        <v>15081</v>
      </c>
    </row>
    <row r="555" spans="1:6" x14ac:dyDescent="0.35">
      <c r="A555">
        <v>3</v>
      </c>
      <c r="B555" t="s">
        <v>126</v>
      </c>
    </row>
    <row r="557" spans="1:6" x14ac:dyDescent="0.35">
      <c r="B557" t="s">
        <v>311</v>
      </c>
    </row>
    <row r="559" spans="1:6" x14ac:dyDescent="0.35">
      <c r="A559" t="s">
        <v>44</v>
      </c>
      <c r="B559" t="s">
        <v>312</v>
      </c>
      <c r="C559" t="s">
        <v>60</v>
      </c>
      <c r="D559">
        <v>6</v>
      </c>
      <c r="E559" s="1">
        <v>308</v>
      </c>
      <c r="F559">
        <f>D559*E559</f>
        <v>1848</v>
      </c>
    </row>
    <row r="561" spans="1:6" x14ac:dyDescent="0.35">
      <c r="A561" t="s">
        <v>47</v>
      </c>
      <c r="B561" t="s">
        <v>313</v>
      </c>
      <c r="C561" t="s">
        <v>60</v>
      </c>
      <c r="D561">
        <v>28</v>
      </c>
      <c r="E561" s="1">
        <v>412.5</v>
      </c>
      <c r="F561">
        <f>D561*E561</f>
        <v>11550</v>
      </c>
    </row>
    <row r="563" spans="1:6" x14ac:dyDescent="0.35">
      <c r="B563" t="s">
        <v>314</v>
      </c>
    </row>
    <row r="565" spans="1:6" x14ac:dyDescent="0.35">
      <c r="A565" t="s">
        <v>62</v>
      </c>
      <c r="B565" t="s">
        <v>315</v>
      </c>
      <c r="C565" t="s">
        <v>125</v>
      </c>
      <c r="D565">
        <v>3</v>
      </c>
      <c r="E565" s="1">
        <v>110</v>
      </c>
      <c r="F565">
        <f>D565*E565</f>
        <v>330</v>
      </c>
    </row>
    <row r="567" spans="1:6" x14ac:dyDescent="0.35">
      <c r="A567" t="s">
        <v>65</v>
      </c>
      <c r="B567" t="s">
        <v>316</v>
      </c>
      <c r="C567" t="s">
        <v>125</v>
      </c>
      <c r="D567">
        <v>16</v>
      </c>
      <c r="F567">
        <f>D567*E567</f>
        <v>0</v>
      </c>
    </row>
    <row r="569" spans="1:6" x14ac:dyDescent="0.35">
      <c r="B569" t="s">
        <v>130</v>
      </c>
    </row>
    <row r="571" spans="1:6" x14ac:dyDescent="0.35">
      <c r="A571" t="s">
        <v>67</v>
      </c>
      <c r="B571" t="s">
        <v>317</v>
      </c>
      <c r="C571" t="s">
        <v>125</v>
      </c>
      <c r="D571">
        <v>9</v>
      </c>
      <c r="E571" s="1">
        <v>14.3</v>
      </c>
      <c r="F571">
        <f>D571*E571</f>
        <v>128.70000000000002</v>
      </c>
    </row>
    <row r="573" spans="1:6" x14ac:dyDescent="0.35">
      <c r="A573" t="s">
        <v>69</v>
      </c>
      <c r="B573" t="s">
        <v>318</v>
      </c>
      <c r="C573" t="s">
        <v>125</v>
      </c>
      <c r="D573">
        <v>38</v>
      </c>
      <c r="F573">
        <f>D573*E573</f>
        <v>0</v>
      </c>
    </row>
    <row r="575" spans="1:6" x14ac:dyDescent="0.35">
      <c r="B575" t="s">
        <v>319</v>
      </c>
    </row>
    <row r="577" spans="1:6" x14ac:dyDescent="0.35">
      <c r="A577" t="s">
        <v>71</v>
      </c>
      <c r="B577" t="s">
        <v>320</v>
      </c>
      <c r="C577" t="s">
        <v>321</v>
      </c>
      <c r="D577">
        <v>6</v>
      </c>
      <c r="E577" s="1">
        <v>88</v>
      </c>
      <c r="F577">
        <f>D577*E577</f>
        <v>528</v>
      </c>
    </row>
    <row r="579" spans="1:6" x14ac:dyDescent="0.35">
      <c r="B579" t="s">
        <v>158</v>
      </c>
      <c r="E579" t="s">
        <v>50</v>
      </c>
      <c r="F579">
        <f>SUM(F557:F577)</f>
        <v>14384.7</v>
      </c>
    </row>
    <row r="581" spans="1:6" x14ac:dyDescent="0.35">
      <c r="A581">
        <v>4</v>
      </c>
      <c r="B581" t="s">
        <v>159</v>
      </c>
    </row>
    <row r="583" spans="1:6" x14ac:dyDescent="0.35">
      <c r="B583" t="s">
        <v>322</v>
      </c>
    </row>
    <row r="585" spans="1:6" x14ac:dyDescent="0.35">
      <c r="A585" t="s">
        <v>44</v>
      </c>
      <c r="B585" t="s">
        <v>323</v>
      </c>
      <c r="C585" t="s">
        <v>60</v>
      </c>
      <c r="D585">
        <v>17</v>
      </c>
      <c r="F585">
        <f>D585*E585</f>
        <v>0</v>
      </c>
    </row>
    <row r="587" spans="1:6" x14ac:dyDescent="0.35">
      <c r="B587" t="s">
        <v>324</v>
      </c>
      <c r="E587" t="s">
        <v>50</v>
      </c>
      <c r="F587">
        <f>SUM(F582:F585)</f>
        <v>0</v>
      </c>
    </row>
    <row r="589" spans="1:6" x14ac:dyDescent="0.35">
      <c r="A589">
        <v>5</v>
      </c>
      <c r="B589" t="s">
        <v>325</v>
      </c>
    </row>
    <row r="591" spans="1:6" x14ac:dyDescent="0.35">
      <c r="B591" t="s">
        <v>326</v>
      </c>
    </row>
    <row r="593" spans="1:6" x14ac:dyDescent="0.35">
      <c r="A593" t="s">
        <v>44</v>
      </c>
      <c r="B593" t="s">
        <v>327</v>
      </c>
      <c r="C593" t="s">
        <v>125</v>
      </c>
      <c r="D593">
        <v>15</v>
      </c>
      <c r="E593" s="1">
        <v>165</v>
      </c>
      <c r="F593">
        <f>D593*E593</f>
        <v>2475</v>
      </c>
    </row>
    <row r="595" spans="1:6" x14ac:dyDescent="0.35">
      <c r="A595" t="s">
        <v>47</v>
      </c>
      <c r="B595" t="s">
        <v>328</v>
      </c>
      <c r="C595" t="s">
        <v>125</v>
      </c>
      <c r="D595">
        <v>15</v>
      </c>
      <c r="E595" s="1">
        <v>99</v>
      </c>
      <c r="F595">
        <f>D595*E595</f>
        <v>1485</v>
      </c>
    </row>
    <row r="597" spans="1:6" x14ac:dyDescent="0.35">
      <c r="A597" t="s">
        <v>62</v>
      </c>
      <c r="B597" t="s">
        <v>329</v>
      </c>
      <c r="C597" t="s">
        <v>125</v>
      </c>
      <c r="D597">
        <v>13</v>
      </c>
      <c r="E597" s="1">
        <v>165</v>
      </c>
      <c r="F597">
        <f>D597*E597</f>
        <v>2145</v>
      </c>
    </row>
    <row r="599" spans="1:6" x14ac:dyDescent="0.35">
      <c r="B599" t="s">
        <v>330</v>
      </c>
    </row>
    <row r="601" spans="1:6" x14ac:dyDescent="0.35">
      <c r="A601" t="s">
        <v>65</v>
      </c>
      <c r="B601" t="s">
        <v>331</v>
      </c>
      <c r="C601" t="s">
        <v>180</v>
      </c>
      <c r="D601">
        <v>1</v>
      </c>
      <c r="F601">
        <f>D601*E601</f>
        <v>0</v>
      </c>
    </row>
    <row r="603" spans="1:6" x14ac:dyDescent="0.35">
      <c r="B603" t="s">
        <v>332</v>
      </c>
    </row>
    <row r="605" spans="1:6" x14ac:dyDescent="0.35">
      <c r="A605" t="s">
        <v>67</v>
      </c>
      <c r="B605" t="s">
        <v>333</v>
      </c>
      <c r="C605" t="s">
        <v>180</v>
      </c>
      <c r="D605">
        <v>2</v>
      </c>
      <c r="F605">
        <f>D605*E605</f>
        <v>0</v>
      </c>
    </row>
    <row r="607" spans="1:6" x14ac:dyDescent="0.35">
      <c r="B607" t="s">
        <v>334</v>
      </c>
    </row>
    <row r="609" spans="1:6" x14ac:dyDescent="0.35">
      <c r="B609" t="s">
        <v>335</v>
      </c>
    </row>
    <row r="611" spans="1:6" x14ac:dyDescent="0.35">
      <c r="A611" t="s">
        <v>69</v>
      </c>
      <c r="B611" t="s">
        <v>336</v>
      </c>
      <c r="C611" t="s">
        <v>180</v>
      </c>
      <c r="D611">
        <v>1</v>
      </c>
      <c r="E611" s="1">
        <v>660</v>
      </c>
      <c r="F611">
        <f>D611*E611</f>
        <v>660</v>
      </c>
    </row>
    <row r="613" spans="1:6" x14ac:dyDescent="0.35">
      <c r="A613" t="s">
        <v>71</v>
      </c>
      <c r="B613" t="s">
        <v>337</v>
      </c>
      <c r="C613" t="s">
        <v>180</v>
      </c>
      <c r="D613">
        <v>2</v>
      </c>
      <c r="E613" s="1">
        <v>132</v>
      </c>
      <c r="F613">
        <f>D613*E613</f>
        <v>264</v>
      </c>
    </row>
    <row r="615" spans="1:6" x14ac:dyDescent="0.35">
      <c r="A615" t="s">
        <v>73</v>
      </c>
      <c r="B615" t="s">
        <v>338</v>
      </c>
      <c r="C615" t="s">
        <v>180</v>
      </c>
      <c r="D615">
        <v>2</v>
      </c>
      <c r="E615" s="1">
        <v>132</v>
      </c>
      <c r="F615">
        <f>D615*E615</f>
        <v>264</v>
      </c>
    </row>
    <row r="617" spans="1:6" x14ac:dyDescent="0.35">
      <c r="B617" t="s">
        <v>339</v>
      </c>
      <c r="E617" t="s">
        <v>50</v>
      </c>
      <c r="F617">
        <f>SUM(F593:F615)</f>
        <v>7293</v>
      </c>
    </row>
    <row r="619" spans="1:6" x14ac:dyDescent="0.35">
      <c r="A619">
        <v>6</v>
      </c>
      <c r="B619" t="s">
        <v>188</v>
      </c>
    </row>
    <row r="621" spans="1:6" x14ac:dyDescent="0.35">
      <c r="B621" t="s">
        <v>192</v>
      </c>
    </row>
    <row r="623" spans="1:6" x14ac:dyDescent="0.35">
      <c r="B623" t="s">
        <v>340</v>
      </c>
    </row>
    <row r="625" spans="1:6" x14ac:dyDescent="0.35">
      <c r="A625" t="s">
        <v>44</v>
      </c>
      <c r="B625" t="s">
        <v>341</v>
      </c>
      <c r="C625" t="s">
        <v>180</v>
      </c>
      <c r="D625">
        <v>2</v>
      </c>
      <c r="E625" s="1">
        <v>1980</v>
      </c>
      <c r="F625">
        <f>D625*E625</f>
        <v>3960</v>
      </c>
    </row>
    <row r="627" spans="1:6" x14ac:dyDescent="0.35">
      <c r="A627" t="s">
        <v>47</v>
      </c>
      <c r="B627" t="s">
        <v>342</v>
      </c>
      <c r="C627" t="s">
        <v>180</v>
      </c>
      <c r="D627">
        <v>1</v>
      </c>
      <c r="E627" s="1">
        <v>3850</v>
      </c>
      <c r="F627">
        <f>D627*E627</f>
        <v>3850</v>
      </c>
    </row>
    <row r="629" spans="1:6" x14ac:dyDescent="0.35">
      <c r="B629" t="s">
        <v>343</v>
      </c>
    </row>
    <row r="631" spans="1:6" x14ac:dyDescent="0.35">
      <c r="A631" t="s">
        <v>62</v>
      </c>
      <c r="B631" t="s">
        <v>344</v>
      </c>
      <c r="C631" t="s">
        <v>180</v>
      </c>
      <c r="D631">
        <v>2</v>
      </c>
      <c r="F631">
        <f>D631*E631</f>
        <v>0</v>
      </c>
    </row>
    <row r="633" spans="1:6" x14ac:dyDescent="0.35">
      <c r="A633" t="s">
        <v>65</v>
      </c>
      <c r="B633" t="s">
        <v>345</v>
      </c>
      <c r="C633" t="s">
        <v>180</v>
      </c>
      <c r="D633">
        <v>1</v>
      </c>
      <c r="F633">
        <f>D633*E633</f>
        <v>0</v>
      </c>
    </row>
    <row r="635" spans="1:6" x14ac:dyDescent="0.35">
      <c r="B635" t="s">
        <v>346</v>
      </c>
      <c r="E635" t="s">
        <v>50</v>
      </c>
      <c r="F635">
        <f>SUM(F620:F633)</f>
        <v>7810</v>
      </c>
    </row>
    <row r="637" spans="1:6" x14ac:dyDescent="0.35">
      <c r="A637">
        <v>7</v>
      </c>
      <c r="B637" t="s">
        <v>347</v>
      </c>
    </row>
    <row r="639" spans="1:6" x14ac:dyDescent="0.35">
      <c r="B639" t="s">
        <v>348</v>
      </c>
    </row>
    <row r="641" spans="1:6" x14ac:dyDescent="0.35">
      <c r="B641" t="s">
        <v>349</v>
      </c>
    </row>
    <row r="643" spans="1:6" x14ac:dyDescent="0.35">
      <c r="A643" t="s">
        <v>44</v>
      </c>
      <c r="B643" t="s">
        <v>350</v>
      </c>
      <c r="C643" t="s">
        <v>125</v>
      </c>
      <c r="D643">
        <v>8</v>
      </c>
      <c r="E643" s="1">
        <v>176</v>
      </c>
      <c r="F643">
        <f>D643*E643</f>
        <v>1408</v>
      </c>
    </row>
    <row r="645" spans="1:6" x14ac:dyDescent="0.35">
      <c r="A645" t="s">
        <v>47</v>
      </c>
      <c r="B645" t="s">
        <v>351</v>
      </c>
      <c r="C645" t="s">
        <v>125</v>
      </c>
      <c r="D645">
        <v>12</v>
      </c>
      <c r="E645" s="1">
        <v>418</v>
      </c>
      <c r="F645">
        <f>D645*E645</f>
        <v>5016</v>
      </c>
    </row>
    <row r="647" spans="1:6" x14ac:dyDescent="0.35">
      <c r="B647" t="s">
        <v>352</v>
      </c>
    </row>
    <row r="649" spans="1:6" x14ac:dyDescent="0.35">
      <c r="A649" t="s">
        <v>62</v>
      </c>
      <c r="B649" t="s">
        <v>353</v>
      </c>
      <c r="C649" t="s">
        <v>180</v>
      </c>
      <c r="D649">
        <v>1</v>
      </c>
      <c r="F649">
        <f>D649*E649</f>
        <v>0</v>
      </c>
    </row>
    <row r="651" spans="1:6" x14ac:dyDescent="0.35">
      <c r="A651" t="s">
        <v>65</v>
      </c>
      <c r="B651" t="s">
        <v>354</v>
      </c>
      <c r="C651" t="s">
        <v>180</v>
      </c>
      <c r="D651">
        <v>1</v>
      </c>
      <c r="F651">
        <f>D651*E651</f>
        <v>0</v>
      </c>
    </row>
    <row r="653" spans="1:6" x14ac:dyDescent="0.35">
      <c r="A653" t="s">
        <v>67</v>
      </c>
      <c r="B653" t="s">
        <v>355</v>
      </c>
      <c r="C653" t="s">
        <v>180</v>
      </c>
      <c r="D653">
        <v>2</v>
      </c>
      <c r="F653">
        <f>D653*E653</f>
        <v>0</v>
      </c>
    </row>
    <row r="655" spans="1:6" x14ac:dyDescent="0.35">
      <c r="A655" t="s">
        <v>69</v>
      </c>
      <c r="B655" t="s">
        <v>356</v>
      </c>
      <c r="C655" t="s">
        <v>180</v>
      </c>
      <c r="D655">
        <v>1</v>
      </c>
      <c r="F655">
        <f>D655*E655</f>
        <v>0</v>
      </c>
    </row>
    <row r="657" spans="1:6" x14ac:dyDescent="0.35">
      <c r="A657" t="s">
        <v>71</v>
      </c>
      <c r="B657" t="s">
        <v>357</v>
      </c>
      <c r="C657" t="s">
        <v>180</v>
      </c>
      <c r="D657">
        <v>2</v>
      </c>
      <c r="F657">
        <f>D657*E657</f>
        <v>0</v>
      </c>
    </row>
    <row r="659" spans="1:6" x14ac:dyDescent="0.35">
      <c r="A659" t="s">
        <v>73</v>
      </c>
      <c r="B659" t="s">
        <v>358</v>
      </c>
      <c r="C659" t="s">
        <v>180</v>
      </c>
      <c r="D659">
        <v>1</v>
      </c>
      <c r="F659">
        <f>D659*E659</f>
        <v>0</v>
      </c>
    </row>
    <row r="661" spans="1:6" x14ac:dyDescent="0.35">
      <c r="A661" t="s">
        <v>75</v>
      </c>
      <c r="B661" t="s">
        <v>359</v>
      </c>
      <c r="C661" t="s">
        <v>180</v>
      </c>
      <c r="D661">
        <v>1</v>
      </c>
      <c r="F661">
        <f>D661*E661</f>
        <v>0</v>
      </c>
    </row>
    <row r="663" spans="1:6" x14ac:dyDescent="0.35">
      <c r="B663" t="s">
        <v>360</v>
      </c>
    </row>
    <row r="665" spans="1:6" x14ac:dyDescent="0.35">
      <c r="A665" t="s">
        <v>77</v>
      </c>
      <c r="B665" t="s">
        <v>361</v>
      </c>
      <c r="C665" t="s">
        <v>180</v>
      </c>
      <c r="D665">
        <v>1</v>
      </c>
      <c r="F665">
        <f>D665*E665</f>
        <v>0</v>
      </c>
    </row>
    <row r="667" spans="1:6" x14ac:dyDescent="0.35">
      <c r="A667" t="s">
        <v>79</v>
      </c>
      <c r="B667" t="s">
        <v>362</v>
      </c>
      <c r="C667" t="s">
        <v>180</v>
      </c>
      <c r="D667">
        <v>1</v>
      </c>
      <c r="E667" s="1">
        <v>6600</v>
      </c>
      <c r="F667">
        <f>D667*E667</f>
        <v>6600</v>
      </c>
    </row>
    <row r="669" spans="1:6" x14ac:dyDescent="0.35">
      <c r="A669" t="s">
        <v>81</v>
      </c>
      <c r="B669" t="s">
        <v>363</v>
      </c>
      <c r="C669" t="s">
        <v>180</v>
      </c>
      <c r="D669">
        <v>1</v>
      </c>
      <c r="F669">
        <f>D669*E669</f>
        <v>0</v>
      </c>
    </row>
    <row r="671" spans="1:6" x14ac:dyDescent="0.35">
      <c r="A671" t="s">
        <v>84</v>
      </c>
      <c r="B671" t="s">
        <v>364</v>
      </c>
      <c r="C671" t="s">
        <v>233</v>
      </c>
      <c r="D671">
        <v>1</v>
      </c>
      <c r="F671">
        <f>D671*E671</f>
        <v>0</v>
      </c>
    </row>
    <row r="673" spans="1:6" x14ac:dyDescent="0.35">
      <c r="A673" t="s">
        <v>86</v>
      </c>
      <c r="B673" t="s">
        <v>365</v>
      </c>
      <c r="C673" t="s">
        <v>233</v>
      </c>
      <c r="D673">
        <v>1</v>
      </c>
      <c r="E673" s="1">
        <v>3850</v>
      </c>
      <c r="F673">
        <f>D673*E673</f>
        <v>3850</v>
      </c>
    </row>
    <row r="675" spans="1:6" x14ac:dyDescent="0.35">
      <c r="B675" t="s">
        <v>366</v>
      </c>
    </row>
    <row r="677" spans="1:6" x14ac:dyDescent="0.35">
      <c r="B677" t="s">
        <v>367</v>
      </c>
    </row>
    <row r="679" spans="1:6" x14ac:dyDescent="0.35">
      <c r="A679" t="s">
        <v>90</v>
      </c>
      <c r="B679" t="s">
        <v>368</v>
      </c>
      <c r="C679" t="s">
        <v>369</v>
      </c>
      <c r="D679">
        <v>22</v>
      </c>
      <c r="E679" s="1">
        <v>198</v>
      </c>
      <c r="F679">
        <f>D679*E679</f>
        <v>4356</v>
      </c>
    </row>
    <row r="681" spans="1:6" x14ac:dyDescent="0.35">
      <c r="A681" t="s">
        <v>93</v>
      </c>
      <c r="B681" t="s">
        <v>370</v>
      </c>
      <c r="C681" t="s">
        <v>125</v>
      </c>
      <c r="D681">
        <v>18</v>
      </c>
      <c r="F681">
        <f>D681*E681</f>
        <v>0</v>
      </c>
    </row>
    <row r="683" spans="1:6" x14ac:dyDescent="0.35">
      <c r="A683" t="s">
        <v>95</v>
      </c>
      <c r="B683" t="s">
        <v>371</v>
      </c>
      <c r="C683" t="s">
        <v>180</v>
      </c>
      <c r="D683">
        <v>8</v>
      </c>
      <c r="F683">
        <f>D683*E683</f>
        <v>0</v>
      </c>
    </row>
    <row r="685" spans="1:6" x14ac:dyDescent="0.35">
      <c r="A685" t="s">
        <v>97</v>
      </c>
      <c r="B685" t="s">
        <v>372</v>
      </c>
      <c r="C685" t="s">
        <v>180</v>
      </c>
      <c r="D685">
        <v>2</v>
      </c>
      <c r="F685">
        <f>D685*E685</f>
        <v>0</v>
      </c>
    </row>
    <row r="687" spans="1:6" x14ac:dyDescent="0.35">
      <c r="A687" t="s">
        <v>99</v>
      </c>
      <c r="B687" t="s">
        <v>373</v>
      </c>
      <c r="C687" t="s">
        <v>180</v>
      </c>
      <c r="D687">
        <v>2</v>
      </c>
      <c r="F687">
        <f>D687*E687</f>
        <v>0</v>
      </c>
    </row>
    <row r="689" spans="1:6" x14ac:dyDescent="0.35">
      <c r="A689" t="s">
        <v>101</v>
      </c>
      <c r="B689" t="s">
        <v>374</v>
      </c>
      <c r="C689" t="s">
        <v>180</v>
      </c>
      <c r="D689">
        <v>2</v>
      </c>
      <c r="E689" s="1">
        <v>220</v>
      </c>
      <c r="F689">
        <f>D689*E689</f>
        <v>440</v>
      </c>
    </row>
    <row r="691" spans="1:6" x14ac:dyDescent="0.35">
      <c r="B691" t="s">
        <v>375</v>
      </c>
    </row>
    <row r="693" spans="1:6" x14ac:dyDescent="0.35">
      <c r="A693" t="s">
        <v>103</v>
      </c>
      <c r="B693" t="s">
        <v>376</v>
      </c>
      <c r="C693" t="s">
        <v>233</v>
      </c>
      <c r="D693">
        <v>1</v>
      </c>
      <c r="F693">
        <f>D693*E693</f>
        <v>0</v>
      </c>
    </row>
    <row r="695" spans="1:6" x14ac:dyDescent="0.35">
      <c r="A695" t="s">
        <v>105</v>
      </c>
      <c r="B695" t="s">
        <v>377</v>
      </c>
      <c r="C695" t="s">
        <v>233</v>
      </c>
      <c r="D695">
        <v>1</v>
      </c>
      <c r="F695">
        <f>D695*E695</f>
        <v>0</v>
      </c>
    </row>
    <row r="697" spans="1:6" x14ac:dyDescent="0.35">
      <c r="A697" t="s">
        <v>109</v>
      </c>
      <c r="B697" t="s">
        <v>378</v>
      </c>
      <c r="C697" t="s">
        <v>180</v>
      </c>
      <c r="D697">
        <v>2</v>
      </c>
      <c r="E697" s="1">
        <v>440</v>
      </c>
      <c r="F697">
        <f>D697*E697</f>
        <v>880</v>
      </c>
    </row>
    <row r="699" spans="1:6" x14ac:dyDescent="0.35">
      <c r="A699" t="s">
        <v>112</v>
      </c>
      <c r="B699" t="s">
        <v>379</v>
      </c>
      <c r="C699" t="s">
        <v>180</v>
      </c>
      <c r="D699">
        <v>1</v>
      </c>
      <c r="E699" s="1">
        <v>495</v>
      </c>
      <c r="F699">
        <f>D699*E699</f>
        <v>495</v>
      </c>
    </row>
    <row r="701" spans="1:6" x14ac:dyDescent="0.35">
      <c r="A701" t="s">
        <v>115</v>
      </c>
      <c r="B701" t="s">
        <v>380</v>
      </c>
      <c r="C701" t="s">
        <v>180</v>
      </c>
      <c r="D701">
        <v>1</v>
      </c>
      <c r="E701" s="1">
        <v>1100</v>
      </c>
      <c r="F701">
        <f>D701*E701</f>
        <v>1100</v>
      </c>
    </row>
    <row r="703" spans="1:6" x14ac:dyDescent="0.35">
      <c r="B703" t="s">
        <v>381</v>
      </c>
      <c r="E703" t="s">
        <v>50</v>
      </c>
      <c r="F703">
        <f>SUM(F639:F701)</f>
        <v>24145</v>
      </c>
    </row>
    <row r="705" spans="1:2" x14ac:dyDescent="0.35">
      <c r="A705">
        <v>8</v>
      </c>
      <c r="B705" t="s">
        <v>211</v>
      </c>
    </row>
    <row r="706" spans="1:2" x14ac:dyDescent="0.35">
      <c r="B706" t="s">
        <v>382</v>
      </c>
    </row>
    <row r="708" spans="1:2" x14ac:dyDescent="0.35">
      <c r="B708" t="s">
        <v>383</v>
      </c>
    </row>
    <row r="710" spans="1:2" x14ac:dyDescent="0.35">
      <c r="B710" t="s">
        <v>213</v>
      </c>
    </row>
    <row r="712" spans="1:2" x14ac:dyDescent="0.35">
      <c r="A712" t="s">
        <v>44</v>
      </c>
      <c r="B712" t="s">
        <v>384</v>
      </c>
    </row>
    <row r="714" spans="1:2" x14ac:dyDescent="0.35">
      <c r="B714" t="s">
        <v>385</v>
      </c>
    </row>
    <row r="715" spans="1:2" x14ac:dyDescent="0.35">
      <c r="B715" t="s">
        <v>386</v>
      </c>
    </row>
    <row r="716" spans="1:2" x14ac:dyDescent="0.35">
      <c r="B716" t="s">
        <v>387</v>
      </c>
    </row>
    <row r="717" spans="1:2" x14ac:dyDescent="0.35">
      <c r="B717" t="s">
        <v>388</v>
      </c>
    </row>
    <row r="718" spans="1:2" x14ac:dyDescent="0.35">
      <c r="B718" t="s">
        <v>389</v>
      </c>
    </row>
    <row r="719" spans="1:2" x14ac:dyDescent="0.35">
      <c r="B719" t="s">
        <v>390</v>
      </c>
    </row>
    <row r="721" spans="1:6" x14ac:dyDescent="0.35">
      <c r="B721" t="s">
        <v>391</v>
      </c>
      <c r="C721" t="s">
        <v>180</v>
      </c>
      <c r="D721">
        <v>1</v>
      </c>
      <c r="E721" s="1">
        <v>8800</v>
      </c>
      <c r="F721">
        <f>D721*E721</f>
        <v>8800</v>
      </c>
    </row>
    <row r="723" spans="1:6" x14ac:dyDescent="0.35">
      <c r="B723" t="s">
        <v>392</v>
      </c>
    </row>
    <row r="725" spans="1:6" x14ac:dyDescent="0.35">
      <c r="B725" t="s">
        <v>393</v>
      </c>
    </row>
    <row r="726" spans="1:6" x14ac:dyDescent="0.35">
      <c r="A726" t="s">
        <v>47</v>
      </c>
      <c r="B726" t="s">
        <v>394</v>
      </c>
      <c r="C726" t="s">
        <v>180</v>
      </c>
      <c r="D726">
        <v>1</v>
      </c>
      <c r="E726" s="1">
        <v>4400</v>
      </c>
      <c r="F726">
        <f>D726*E726</f>
        <v>4400</v>
      </c>
    </row>
    <row r="728" spans="1:6" x14ac:dyDescent="0.35">
      <c r="A728" t="s">
        <v>62</v>
      </c>
      <c r="B728" t="s">
        <v>395</v>
      </c>
      <c r="C728" t="s">
        <v>180</v>
      </c>
      <c r="D728">
        <v>1</v>
      </c>
      <c r="F728">
        <f>D728*E728</f>
        <v>0</v>
      </c>
    </row>
    <row r="730" spans="1:6" x14ac:dyDescent="0.35">
      <c r="B730" t="s">
        <v>222</v>
      </c>
    </row>
    <row r="732" spans="1:6" x14ac:dyDescent="0.35">
      <c r="A732" t="s">
        <v>65</v>
      </c>
      <c r="B732" t="s">
        <v>396</v>
      </c>
      <c r="C732" t="s">
        <v>225</v>
      </c>
      <c r="D732">
        <v>1</v>
      </c>
      <c r="E732" s="1">
        <v>2200</v>
      </c>
      <c r="F732">
        <f>D732*E732</f>
        <v>2200</v>
      </c>
    </row>
    <row r="734" spans="1:6" x14ac:dyDescent="0.35">
      <c r="A734" t="s">
        <v>67</v>
      </c>
      <c r="B734" t="s">
        <v>397</v>
      </c>
      <c r="C734" t="s">
        <v>225</v>
      </c>
      <c r="D734">
        <v>1</v>
      </c>
      <c r="E734" s="1">
        <v>2200</v>
      </c>
      <c r="F734">
        <f>D734*E734</f>
        <v>2200</v>
      </c>
    </row>
    <row r="736" spans="1:6" x14ac:dyDescent="0.35">
      <c r="A736" t="s">
        <v>69</v>
      </c>
      <c r="B736" t="s">
        <v>398</v>
      </c>
      <c r="C736" t="s">
        <v>225</v>
      </c>
      <c r="D736">
        <v>1</v>
      </c>
      <c r="E736" s="1">
        <v>2200</v>
      </c>
      <c r="F736">
        <f>D736*E736</f>
        <v>2200</v>
      </c>
    </row>
    <row r="738" spans="1:6" x14ac:dyDescent="0.35">
      <c r="A738" t="s">
        <v>71</v>
      </c>
      <c r="B738" t="s">
        <v>399</v>
      </c>
      <c r="C738" t="s">
        <v>225</v>
      </c>
      <c r="D738">
        <v>1</v>
      </c>
      <c r="E738" s="1">
        <v>1540</v>
      </c>
      <c r="F738">
        <f>D738*E738</f>
        <v>1540</v>
      </c>
    </row>
    <row r="740" spans="1:6" x14ac:dyDescent="0.35">
      <c r="A740" t="s">
        <v>73</v>
      </c>
      <c r="B740" t="s">
        <v>400</v>
      </c>
      <c r="C740" t="s">
        <v>225</v>
      </c>
      <c r="D740">
        <v>1</v>
      </c>
      <c r="E740" s="1">
        <v>1540</v>
      </c>
      <c r="F740">
        <f>D740*E740</f>
        <v>1540</v>
      </c>
    </row>
    <row r="742" spans="1:6" x14ac:dyDescent="0.35">
      <c r="B742" t="s">
        <v>234</v>
      </c>
    </row>
    <row r="744" spans="1:6" x14ac:dyDescent="0.35">
      <c r="A744" t="s">
        <v>75</v>
      </c>
      <c r="B744" t="s">
        <v>401</v>
      </c>
      <c r="C744" t="s">
        <v>321</v>
      </c>
      <c r="D744">
        <v>2</v>
      </c>
      <c r="E744" s="1">
        <v>418</v>
      </c>
      <c r="F744">
        <f>D744*E744</f>
        <v>836</v>
      </c>
    </row>
    <row r="746" spans="1:6" x14ac:dyDescent="0.35">
      <c r="B746" t="s">
        <v>238</v>
      </c>
    </row>
    <row r="748" spans="1:6" x14ac:dyDescent="0.35">
      <c r="B748" t="s">
        <v>402</v>
      </c>
    </row>
    <row r="750" spans="1:6" x14ac:dyDescent="0.35">
      <c r="A750" t="s">
        <v>77</v>
      </c>
      <c r="B750" t="s">
        <v>403</v>
      </c>
      <c r="C750" t="s">
        <v>321</v>
      </c>
      <c r="D750">
        <v>1</v>
      </c>
      <c r="E750" s="1">
        <v>495</v>
      </c>
      <c r="F750">
        <f>D750*E750</f>
        <v>495</v>
      </c>
    </row>
    <row r="752" spans="1:6" x14ac:dyDescent="0.35">
      <c r="B752" t="s">
        <v>404</v>
      </c>
    </row>
    <row r="754" spans="1:6" x14ac:dyDescent="0.35">
      <c r="A754" t="s">
        <v>79</v>
      </c>
      <c r="B754" t="s">
        <v>405</v>
      </c>
      <c r="C754" t="s">
        <v>321</v>
      </c>
      <c r="D754">
        <v>2</v>
      </c>
      <c r="E754" s="1">
        <v>1320</v>
      </c>
      <c r="F754">
        <f>D754*E754</f>
        <v>2640</v>
      </c>
    </row>
    <row r="756" spans="1:6" x14ac:dyDescent="0.35">
      <c r="A756" t="s">
        <v>81</v>
      </c>
      <c r="B756" t="s">
        <v>406</v>
      </c>
      <c r="C756" t="s">
        <v>321</v>
      </c>
      <c r="D756">
        <v>2</v>
      </c>
      <c r="E756" s="1">
        <v>1980</v>
      </c>
      <c r="F756">
        <f>D756*E756</f>
        <v>3960</v>
      </c>
    </row>
    <row r="758" spans="1:6" x14ac:dyDescent="0.35">
      <c r="B758" t="s">
        <v>245</v>
      </c>
      <c r="E758" t="s">
        <v>50</v>
      </c>
      <c r="F758">
        <f>SUM(F719:F756)</f>
        <v>30811</v>
      </c>
    </row>
    <row r="760" spans="1:6" x14ac:dyDescent="0.35">
      <c r="A760">
        <v>9</v>
      </c>
      <c r="B760" t="s">
        <v>407</v>
      </c>
    </row>
    <row r="762" spans="1:6" x14ac:dyDescent="0.35">
      <c r="B762" t="s">
        <v>408</v>
      </c>
    </row>
    <row r="764" spans="1:6" x14ac:dyDescent="0.35">
      <c r="B764" t="s">
        <v>409</v>
      </c>
    </row>
    <row r="766" spans="1:6" x14ac:dyDescent="0.35">
      <c r="A766" t="s">
        <v>44</v>
      </c>
      <c r="B766" t="s">
        <v>410</v>
      </c>
      <c r="C766" t="s">
        <v>60</v>
      </c>
      <c r="D766">
        <v>11</v>
      </c>
      <c r="E766" s="1">
        <v>165</v>
      </c>
      <c r="F766">
        <f>D766*E766</f>
        <v>1815</v>
      </c>
    </row>
    <row r="768" spans="1:6" x14ac:dyDescent="0.35">
      <c r="A768" t="s">
        <v>47</v>
      </c>
      <c r="B768" t="s">
        <v>411</v>
      </c>
      <c r="C768" t="s">
        <v>60</v>
      </c>
      <c r="D768">
        <v>11</v>
      </c>
      <c r="F768">
        <f>D768*E768</f>
        <v>0</v>
      </c>
    </row>
    <row r="770" spans="1:6" x14ac:dyDescent="0.35">
      <c r="A770" t="s">
        <v>62</v>
      </c>
      <c r="B770" t="s">
        <v>412</v>
      </c>
      <c r="C770" t="s">
        <v>60</v>
      </c>
      <c r="D770">
        <v>1</v>
      </c>
      <c r="E770" s="1">
        <v>495</v>
      </c>
      <c r="F770">
        <f>D770*E770</f>
        <v>495</v>
      </c>
    </row>
    <row r="772" spans="1:6" x14ac:dyDescent="0.35">
      <c r="B772" t="s">
        <v>413</v>
      </c>
    </row>
    <row r="774" spans="1:6" x14ac:dyDescent="0.35">
      <c r="A774" t="s">
        <v>65</v>
      </c>
      <c r="B774" t="s">
        <v>414</v>
      </c>
      <c r="C774" t="s">
        <v>60</v>
      </c>
      <c r="D774">
        <v>103</v>
      </c>
      <c r="E774" s="1">
        <v>198</v>
      </c>
      <c r="F774">
        <f>D774*E774</f>
        <v>20394</v>
      </c>
    </row>
    <row r="776" spans="1:6" x14ac:dyDescent="0.35">
      <c r="B776" t="s">
        <v>415</v>
      </c>
    </row>
    <row r="778" spans="1:6" x14ac:dyDescent="0.35">
      <c r="A778" t="s">
        <v>67</v>
      </c>
      <c r="B778" t="s">
        <v>416</v>
      </c>
      <c r="C778" t="s">
        <v>60</v>
      </c>
      <c r="D778">
        <v>26</v>
      </c>
      <c r="F778">
        <f>D778*E778</f>
        <v>0</v>
      </c>
    </row>
    <row r="780" spans="1:6" x14ac:dyDescent="0.35">
      <c r="B780" t="s">
        <v>417</v>
      </c>
      <c r="E780" t="s">
        <v>50</v>
      </c>
      <c r="F780">
        <f>SUM(F765:F778)</f>
        <v>22704</v>
      </c>
    </row>
    <row r="782" spans="1:6" x14ac:dyDescent="0.35">
      <c r="A782">
        <v>10</v>
      </c>
      <c r="B782" t="s">
        <v>271</v>
      </c>
    </row>
    <row r="784" spans="1:6" x14ac:dyDescent="0.35">
      <c r="B784" t="s">
        <v>418</v>
      </c>
    </row>
    <row r="786" spans="1:6" x14ac:dyDescent="0.35">
      <c r="B786" t="s">
        <v>419</v>
      </c>
    </row>
    <row r="788" spans="1:6" x14ac:dyDescent="0.35">
      <c r="A788" t="s">
        <v>44</v>
      </c>
      <c r="B788" t="s">
        <v>420</v>
      </c>
      <c r="C788" t="s">
        <v>60</v>
      </c>
      <c r="D788">
        <v>95</v>
      </c>
      <c r="E788" s="1">
        <v>165</v>
      </c>
      <c r="F788">
        <f>D788*E788</f>
        <v>15675</v>
      </c>
    </row>
    <row r="790" spans="1:6" x14ac:dyDescent="0.35">
      <c r="B790" t="s">
        <v>421</v>
      </c>
    </row>
    <row r="792" spans="1:6" x14ac:dyDescent="0.35">
      <c r="A792" t="s">
        <v>47</v>
      </c>
      <c r="B792" t="s">
        <v>422</v>
      </c>
      <c r="C792" t="s">
        <v>60</v>
      </c>
      <c r="D792">
        <v>4</v>
      </c>
      <c r="F792">
        <f>D792*E792</f>
        <v>0</v>
      </c>
    </row>
    <row r="794" spans="1:6" x14ac:dyDescent="0.35">
      <c r="A794" t="s">
        <v>62</v>
      </c>
      <c r="B794" t="s">
        <v>423</v>
      </c>
      <c r="C794" t="s">
        <v>60</v>
      </c>
      <c r="D794">
        <v>6</v>
      </c>
      <c r="E794" s="1">
        <v>187</v>
      </c>
      <c r="F794">
        <f>D794*E794</f>
        <v>1122</v>
      </c>
    </row>
    <row r="796" spans="1:6" x14ac:dyDescent="0.35">
      <c r="B796" t="s">
        <v>264</v>
      </c>
      <c r="E796" t="s">
        <v>50</v>
      </c>
      <c r="F796">
        <f>SUM(F786:F794)</f>
        <v>16797</v>
      </c>
    </row>
    <row r="797" spans="1:6" x14ac:dyDescent="0.35">
      <c r="A797" s="2"/>
      <c r="B797" s="2"/>
      <c r="C797" s="2"/>
      <c r="D797" s="2"/>
      <c r="E797" s="2"/>
    </row>
    <row r="798" spans="1:6" x14ac:dyDescent="0.35">
      <c r="A798" s="2"/>
      <c r="B798" s="4" t="s">
        <v>273</v>
      </c>
      <c r="C798" s="4"/>
      <c r="D798" s="4"/>
      <c r="E798" s="4"/>
    </row>
    <row r="799" spans="1:6" x14ac:dyDescent="0.35">
      <c r="A799" s="2"/>
      <c r="B799" s="4" t="s">
        <v>424</v>
      </c>
      <c r="C799" s="4"/>
      <c r="D799" s="4"/>
      <c r="E799" s="4"/>
    </row>
    <row r="802" spans="1:6" x14ac:dyDescent="0.35">
      <c r="A802">
        <v>1</v>
      </c>
      <c r="B802" t="s">
        <v>54</v>
      </c>
      <c r="F802">
        <f>F528</f>
        <v>50890.400000000001</v>
      </c>
    </row>
    <row r="804" spans="1:6" x14ac:dyDescent="0.35">
      <c r="A804">
        <v>2</v>
      </c>
      <c r="B804" t="s">
        <v>141</v>
      </c>
      <c r="F804">
        <f>F553</f>
        <v>15081</v>
      </c>
    </row>
    <row r="806" spans="1:6" x14ac:dyDescent="0.35">
      <c r="A806">
        <v>3</v>
      </c>
      <c r="B806" t="s">
        <v>425</v>
      </c>
      <c r="F806">
        <f>F579</f>
        <v>14384.7</v>
      </c>
    </row>
    <row r="808" spans="1:6" x14ac:dyDescent="0.35">
      <c r="A808">
        <v>4</v>
      </c>
      <c r="B808" t="s">
        <v>159</v>
      </c>
      <c r="F808">
        <f>F587</f>
        <v>0</v>
      </c>
    </row>
    <row r="810" spans="1:6" x14ac:dyDescent="0.35">
      <c r="A810">
        <v>5</v>
      </c>
      <c r="B810" t="s">
        <v>426</v>
      </c>
      <c r="F810">
        <f>F617</f>
        <v>7293</v>
      </c>
    </row>
    <row r="812" spans="1:6" x14ac:dyDescent="0.35">
      <c r="A812">
        <v>6</v>
      </c>
      <c r="B812" t="s">
        <v>427</v>
      </c>
      <c r="F812">
        <f>F635</f>
        <v>7810</v>
      </c>
    </row>
    <row r="814" spans="1:6" x14ac:dyDescent="0.35">
      <c r="A814">
        <v>7</v>
      </c>
      <c r="B814" t="s">
        <v>428</v>
      </c>
      <c r="F814">
        <f>F703</f>
        <v>24145</v>
      </c>
    </row>
    <row r="816" spans="1:6" x14ac:dyDescent="0.35">
      <c r="A816">
        <v>8</v>
      </c>
      <c r="B816" t="s">
        <v>429</v>
      </c>
      <c r="F816">
        <f>F758</f>
        <v>30811</v>
      </c>
    </row>
    <row r="818" spans="1:6" x14ac:dyDescent="0.35">
      <c r="A818">
        <v>9</v>
      </c>
      <c r="B818" t="s">
        <v>430</v>
      </c>
      <c r="F818">
        <f>F780</f>
        <v>22704</v>
      </c>
    </row>
    <row r="820" spans="1:6" x14ac:dyDescent="0.35">
      <c r="A820">
        <v>10</v>
      </c>
      <c r="B820" t="s">
        <v>257</v>
      </c>
      <c r="F820">
        <f>F796</f>
        <v>16797</v>
      </c>
    </row>
    <row r="822" spans="1:6" x14ac:dyDescent="0.35">
      <c r="B822" t="s">
        <v>431</v>
      </c>
      <c r="E822" t="s">
        <v>50</v>
      </c>
      <c r="F822">
        <f>SUM(F802:F820)</f>
        <v>189916.09999999998</v>
      </c>
    </row>
    <row r="823" spans="1:6" x14ac:dyDescent="0.35">
      <c r="A823" s="5"/>
      <c r="B823" s="5"/>
      <c r="C823" s="5"/>
      <c r="D823" s="5"/>
      <c r="E823" s="5"/>
      <c r="F823" s="5"/>
    </row>
    <row r="824" spans="1:6" x14ac:dyDescent="0.35">
      <c r="A824" s="3"/>
      <c r="B824" s="6" t="s">
        <v>432</v>
      </c>
      <c r="C824" s="6"/>
      <c r="D824" s="6"/>
      <c r="E824" s="6"/>
    </row>
    <row r="825" spans="1:6" x14ac:dyDescent="0.35">
      <c r="A825" s="3"/>
      <c r="B825" s="6" t="s">
        <v>433</v>
      </c>
      <c r="C825" s="6"/>
      <c r="D825" s="6"/>
      <c r="E825" s="6"/>
    </row>
    <row r="826" spans="1:6" x14ac:dyDescent="0.35">
      <c r="B826" s="5"/>
      <c r="C826" s="5"/>
      <c r="D826" s="5"/>
      <c r="E826" s="5"/>
    </row>
    <row r="827" spans="1:6" s="2" customFormat="1" x14ac:dyDescent="0.35">
      <c r="A827" s="2" t="s">
        <v>5</v>
      </c>
      <c r="B827" s="2" t="s">
        <v>6</v>
      </c>
      <c r="C827" s="2" t="s">
        <v>7</v>
      </c>
      <c r="D827" s="2" t="s">
        <v>8</v>
      </c>
      <c r="E827" s="2" t="s">
        <v>9</v>
      </c>
      <c r="F827" s="2" t="s">
        <v>10</v>
      </c>
    </row>
    <row r="829" spans="1:6" x14ac:dyDescent="0.35">
      <c r="A829">
        <v>4</v>
      </c>
      <c r="B829" t="s">
        <v>433</v>
      </c>
    </row>
    <row r="831" spans="1:6" x14ac:dyDescent="0.35">
      <c r="A831" t="s">
        <v>44</v>
      </c>
      <c r="B831" t="s">
        <v>434</v>
      </c>
      <c r="C831" t="s">
        <v>64</v>
      </c>
      <c r="D831">
        <v>22</v>
      </c>
      <c r="E831" s="1">
        <v>66</v>
      </c>
      <c r="F831">
        <f>D831*E831</f>
        <v>1452</v>
      </c>
    </row>
    <row r="833" spans="1:6" x14ac:dyDescent="0.35">
      <c r="A833" t="s">
        <v>47</v>
      </c>
      <c r="B833" t="s">
        <v>435</v>
      </c>
      <c r="C833" t="s">
        <v>64</v>
      </c>
      <c r="D833">
        <v>18</v>
      </c>
      <c r="F833">
        <f>D833*E833</f>
        <v>0</v>
      </c>
    </row>
    <row r="835" spans="1:6" x14ac:dyDescent="0.35">
      <c r="A835" t="s">
        <v>62</v>
      </c>
      <c r="B835" t="s">
        <v>277</v>
      </c>
      <c r="C835" t="s">
        <v>64</v>
      </c>
      <c r="D835">
        <v>1</v>
      </c>
      <c r="E835" s="1">
        <v>220</v>
      </c>
      <c r="F835">
        <f>D835*E835</f>
        <v>220</v>
      </c>
    </row>
    <row r="837" spans="1:6" x14ac:dyDescent="0.35">
      <c r="A837" t="s">
        <v>65</v>
      </c>
      <c r="B837" t="s">
        <v>436</v>
      </c>
      <c r="C837" t="s">
        <v>64</v>
      </c>
      <c r="D837">
        <v>32</v>
      </c>
      <c r="E837" s="1">
        <v>88</v>
      </c>
      <c r="F837">
        <f>D837*E837</f>
        <v>2816</v>
      </c>
    </row>
    <row r="839" spans="1:6" x14ac:dyDescent="0.35">
      <c r="A839" t="s">
        <v>67</v>
      </c>
      <c r="B839" t="s">
        <v>437</v>
      </c>
      <c r="C839" t="s">
        <v>64</v>
      </c>
      <c r="D839">
        <v>6</v>
      </c>
      <c r="E839" s="1">
        <v>66</v>
      </c>
      <c r="F839">
        <f>D839*E839</f>
        <v>396</v>
      </c>
    </row>
    <row r="841" spans="1:6" x14ac:dyDescent="0.35">
      <c r="A841" t="s">
        <v>69</v>
      </c>
      <c r="B841" t="s">
        <v>438</v>
      </c>
      <c r="C841" t="s">
        <v>64</v>
      </c>
      <c r="D841">
        <v>1</v>
      </c>
      <c r="E841" s="1">
        <v>3630</v>
      </c>
      <c r="F841">
        <f>D841*E841</f>
        <v>3630</v>
      </c>
    </row>
    <row r="843" spans="1:6" x14ac:dyDescent="0.35">
      <c r="A843" t="s">
        <v>71</v>
      </c>
      <c r="B843" t="s">
        <v>439</v>
      </c>
      <c r="C843" t="s">
        <v>180</v>
      </c>
      <c r="D843">
        <v>2</v>
      </c>
      <c r="E843" s="1">
        <v>1650</v>
      </c>
      <c r="F843">
        <f>D843*E843</f>
        <v>3300</v>
      </c>
    </row>
    <row r="845" spans="1:6" x14ac:dyDescent="0.35">
      <c r="A845" t="s">
        <v>73</v>
      </c>
      <c r="B845" t="s">
        <v>440</v>
      </c>
      <c r="C845" t="s">
        <v>64</v>
      </c>
      <c r="D845">
        <v>1</v>
      </c>
      <c r="E845" s="1">
        <v>6600</v>
      </c>
      <c r="F845">
        <f>D845*E845</f>
        <v>6600</v>
      </c>
    </row>
    <row r="847" spans="1:6" x14ac:dyDescent="0.35">
      <c r="A847" t="s">
        <v>75</v>
      </c>
      <c r="B847" t="s">
        <v>441</v>
      </c>
      <c r="C847" t="s">
        <v>64</v>
      </c>
      <c r="D847">
        <v>1</v>
      </c>
      <c r="F847">
        <f>D847*E847</f>
        <v>0</v>
      </c>
    </row>
    <row r="849" spans="1:6" x14ac:dyDescent="0.35">
      <c r="A849" t="s">
        <v>77</v>
      </c>
      <c r="B849" t="s">
        <v>442</v>
      </c>
      <c r="C849" t="s">
        <v>111</v>
      </c>
      <c r="D849">
        <f>180+45</f>
        <v>225</v>
      </c>
      <c r="F849">
        <f>D849*E849</f>
        <v>0</v>
      </c>
    </row>
    <row r="851" spans="1:6" x14ac:dyDescent="0.35">
      <c r="A851" t="s">
        <v>79</v>
      </c>
      <c r="B851" t="s">
        <v>443</v>
      </c>
      <c r="C851" t="s">
        <v>60</v>
      </c>
      <c r="D851">
        <v>8</v>
      </c>
      <c r="F851">
        <f>D851*E851</f>
        <v>0</v>
      </c>
    </row>
    <row r="853" spans="1:6" x14ac:dyDescent="0.35">
      <c r="A853" t="s">
        <v>81</v>
      </c>
      <c r="B853" t="s">
        <v>444</v>
      </c>
      <c r="C853" t="s">
        <v>60</v>
      </c>
      <c r="D853">
        <v>16</v>
      </c>
      <c r="E853" s="1">
        <v>495</v>
      </c>
      <c r="F853">
        <f>D853*E853</f>
        <v>7920</v>
      </c>
    </row>
    <row r="855" spans="1:6" x14ac:dyDescent="0.35">
      <c r="A855" t="s">
        <v>84</v>
      </c>
      <c r="B855" t="s">
        <v>445</v>
      </c>
      <c r="C855" t="s">
        <v>125</v>
      </c>
      <c r="D855">
        <v>30</v>
      </c>
      <c r="F855">
        <f>D855*E855</f>
        <v>0</v>
      </c>
    </row>
    <row r="857" spans="1:6" x14ac:dyDescent="0.35">
      <c r="A857" t="s">
        <v>86</v>
      </c>
      <c r="B857" t="s">
        <v>446</v>
      </c>
      <c r="C857" t="s">
        <v>125</v>
      </c>
      <c r="D857">
        <v>4</v>
      </c>
      <c r="F857">
        <f>D857*E857</f>
        <v>0</v>
      </c>
    </row>
    <row r="859" spans="1:6" x14ac:dyDescent="0.35">
      <c r="A859" t="s">
        <v>90</v>
      </c>
      <c r="B859" t="s">
        <v>447</v>
      </c>
      <c r="C859" t="s">
        <v>60</v>
      </c>
      <c r="D859">
        <v>42</v>
      </c>
      <c r="E859" s="1">
        <v>583</v>
      </c>
      <c r="F859">
        <f>D859*E859</f>
        <v>24486</v>
      </c>
    </row>
    <row r="861" spans="1:6" x14ac:dyDescent="0.35">
      <c r="A861" t="s">
        <v>93</v>
      </c>
      <c r="B861" t="s">
        <v>448</v>
      </c>
      <c r="C861" t="s">
        <v>180</v>
      </c>
      <c r="D861">
        <v>2</v>
      </c>
      <c r="E861" s="1">
        <v>440</v>
      </c>
      <c r="F861">
        <f>D861*E861</f>
        <v>880</v>
      </c>
    </row>
    <row r="863" spans="1:6" x14ac:dyDescent="0.35">
      <c r="A863" t="s">
        <v>95</v>
      </c>
      <c r="B863" t="s">
        <v>449</v>
      </c>
      <c r="C863" t="s">
        <v>125</v>
      </c>
      <c r="D863">
        <v>90</v>
      </c>
      <c r="E863" s="1">
        <v>14.3</v>
      </c>
      <c r="F863">
        <f>D863*E863</f>
        <v>1287</v>
      </c>
    </row>
    <row r="865" spans="1:6" x14ac:dyDescent="0.35">
      <c r="A865" t="s">
        <v>97</v>
      </c>
      <c r="B865" t="s">
        <v>450</v>
      </c>
      <c r="C865" t="s">
        <v>180</v>
      </c>
      <c r="D865">
        <v>2</v>
      </c>
      <c r="F865">
        <f>D865*E865</f>
        <v>0</v>
      </c>
    </row>
    <row r="867" spans="1:6" x14ac:dyDescent="0.35">
      <c r="A867" t="s">
        <v>99</v>
      </c>
      <c r="B867" t="s">
        <v>451</v>
      </c>
      <c r="C867" t="s">
        <v>180</v>
      </c>
      <c r="D867">
        <v>2</v>
      </c>
      <c r="F867">
        <f>D867*E867</f>
        <v>0</v>
      </c>
    </row>
    <row r="869" spans="1:6" x14ac:dyDescent="0.35">
      <c r="A869" t="s">
        <v>101</v>
      </c>
      <c r="B869" t="s">
        <v>452</v>
      </c>
      <c r="C869" t="s">
        <v>180</v>
      </c>
      <c r="D869">
        <v>2</v>
      </c>
      <c r="F869">
        <f>D869*E869</f>
        <v>0</v>
      </c>
    </row>
    <row r="871" spans="1:6" x14ac:dyDescent="0.35">
      <c r="A871" t="s">
        <v>103</v>
      </c>
      <c r="B871" t="s">
        <v>453</v>
      </c>
      <c r="C871" t="s">
        <v>60</v>
      </c>
      <c r="D871">
        <v>41</v>
      </c>
      <c r="E871" s="1">
        <v>121</v>
      </c>
      <c r="F871">
        <f>D871*E871</f>
        <v>4961</v>
      </c>
    </row>
    <row r="873" spans="1:6" x14ac:dyDescent="0.35">
      <c r="A873" t="s">
        <v>105</v>
      </c>
      <c r="B873" t="s">
        <v>454</v>
      </c>
      <c r="C873" t="s">
        <v>321</v>
      </c>
      <c r="D873">
        <v>2</v>
      </c>
      <c r="F873">
        <f>D873*E873</f>
        <v>0</v>
      </c>
    </row>
    <row r="874" spans="1:6" x14ac:dyDescent="0.35">
      <c r="F874" t="str">
        <f>IF(D874&gt;0,D874*E874,"")</f>
        <v/>
      </c>
    </row>
    <row r="875" spans="1:6" x14ac:dyDescent="0.35">
      <c r="B875" t="s">
        <v>455</v>
      </c>
      <c r="E875" t="s">
        <v>50</v>
      </c>
      <c r="F875">
        <f>SUM(F831:F873)</f>
        <v>57948</v>
      </c>
    </row>
    <row r="876" spans="1:6" x14ac:dyDescent="0.35">
      <c r="A876" s="6"/>
      <c r="B876" s="6"/>
      <c r="C876" s="6"/>
      <c r="D876" s="6"/>
      <c r="E876" s="6"/>
      <c r="F876" s="6"/>
    </row>
    <row r="877" spans="1:6" x14ac:dyDescent="0.35">
      <c r="A877" s="3"/>
      <c r="B877" s="6" t="s">
        <v>456</v>
      </c>
      <c r="C877" s="6"/>
      <c r="D877" s="6"/>
      <c r="E877" s="6"/>
      <c r="F877" s="3"/>
    </row>
    <row r="878" spans="1:6" x14ac:dyDescent="0.35">
      <c r="A878" s="3"/>
      <c r="B878" s="6" t="s">
        <v>457</v>
      </c>
      <c r="C878" s="6"/>
      <c r="D878" s="6"/>
      <c r="E878" s="6"/>
      <c r="F878" s="3"/>
    </row>
    <row r="879" spans="1:6" x14ac:dyDescent="0.35">
      <c r="B879" s="5"/>
      <c r="C879" s="5"/>
      <c r="D879" s="5"/>
      <c r="E879" s="5"/>
    </row>
    <row r="880" spans="1:6" s="2" customFormat="1" x14ac:dyDescent="0.35">
      <c r="A880" s="2" t="s">
        <v>5</v>
      </c>
      <c r="B880" s="2" t="s">
        <v>6</v>
      </c>
      <c r="C880" s="2" t="s">
        <v>7</v>
      </c>
      <c r="D880" s="2" t="s">
        <v>8</v>
      </c>
      <c r="E880" s="2" t="s">
        <v>9</v>
      </c>
      <c r="F880" s="2" t="s">
        <v>10</v>
      </c>
    </row>
    <row r="882" spans="1:6" x14ac:dyDescent="0.35">
      <c r="B882" t="s">
        <v>458</v>
      </c>
    </row>
    <row r="884" spans="1:6" x14ac:dyDescent="0.35">
      <c r="A884" t="s">
        <v>44</v>
      </c>
      <c r="B884" t="s">
        <v>459</v>
      </c>
      <c r="C884" t="s">
        <v>64</v>
      </c>
      <c r="D884">
        <v>40</v>
      </c>
      <c r="E884" s="1">
        <v>66</v>
      </c>
      <c r="F884">
        <f t="shared" ref="F884:F912" si="0">D884*E884</f>
        <v>2640</v>
      </c>
    </row>
    <row r="885" spans="1:6" x14ac:dyDescent="0.35">
      <c r="F885">
        <f t="shared" si="0"/>
        <v>0</v>
      </c>
    </row>
    <row r="886" spans="1:6" x14ac:dyDescent="0.35">
      <c r="A886" t="s">
        <v>47</v>
      </c>
      <c r="B886" t="s">
        <v>460</v>
      </c>
      <c r="C886" t="s">
        <v>64</v>
      </c>
      <c r="D886">
        <v>4</v>
      </c>
      <c r="F886">
        <f t="shared" si="0"/>
        <v>0</v>
      </c>
    </row>
    <row r="887" spans="1:6" x14ac:dyDescent="0.35">
      <c r="F887">
        <f t="shared" si="0"/>
        <v>0</v>
      </c>
    </row>
    <row r="888" spans="1:6" x14ac:dyDescent="0.35">
      <c r="A888" t="s">
        <v>62</v>
      </c>
      <c r="B888" t="s">
        <v>461</v>
      </c>
      <c r="C888" t="s">
        <v>64</v>
      </c>
      <c r="D888">
        <v>14</v>
      </c>
      <c r="E888" s="1">
        <v>88</v>
      </c>
      <c r="F888">
        <f t="shared" si="0"/>
        <v>1232</v>
      </c>
    </row>
    <row r="889" spans="1:6" x14ac:dyDescent="0.35">
      <c r="F889">
        <f t="shared" si="0"/>
        <v>0</v>
      </c>
    </row>
    <row r="890" spans="1:6" x14ac:dyDescent="0.35">
      <c r="A890" t="s">
        <v>65</v>
      </c>
      <c r="B890" t="s">
        <v>462</v>
      </c>
      <c r="C890" t="s">
        <v>64</v>
      </c>
      <c r="D890">
        <v>2</v>
      </c>
      <c r="E890" s="1">
        <v>66</v>
      </c>
      <c r="F890">
        <f t="shared" si="0"/>
        <v>132</v>
      </c>
    </row>
    <row r="891" spans="1:6" x14ac:dyDescent="0.35">
      <c r="F891">
        <f t="shared" si="0"/>
        <v>0</v>
      </c>
    </row>
    <row r="892" spans="1:6" x14ac:dyDescent="0.35">
      <c r="A892" t="s">
        <v>67</v>
      </c>
      <c r="B892" t="s">
        <v>463</v>
      </c>
      <c r="C892" t="s">
        <v>64</v>
      </c>
      <c r="D892">
        <v>12</v>
      </c>
      <c r="E892" s="1">
        <v>275</v>
      </c>
      <c r="F892">
        <f t="shared" si="0"/>
        <v>3300</v>
      </c>
    </row>
    <row r="893" spans="1:6" x14ac:dyDescent="0.35">
      <c r="F893">
        <f t="shared" si="0"/>
        <v>0</v>
      </c>
    </row>
    <row r="894" spans="1:6" x14ac:dyDescent="0.35">
      <c r="A894" t="s">
        <v>69</v>
      </c>
      <c r="B894" t="s">
        <v>464</v>
      </c>
      <c r="C894" t="s">
        <v>64</v>
      </c>
      <c r="D894">
        <v>4</v>
      </c>
      <c r="E894" s="1">
        <v>6600</v>
      </c>
      <c r="F894">
        <f t="shared" si="0"/>
        <v>26400</v>
      </c>
    </row>
    <row r="895" spans="1:6" x14ac:dyDescent="0.35">
      <c r="F895">
        <f t="shared" si="0"/>
        <v>0</v>
      </c>
    </row>
    <row r="896" spans="1:6" x14ac:dyDescent="0.35">
      <c r="A896" t="s">
        <v>71</v>
      </c>
      <c r="B896" t="s">
        <v>443</v>
      </c>
      <c r="C896" t="s">
        <v>60</v>
      </c>
      <c r="D896">
        <v>8</v>
      </c>
      <c r="F896">
        <f t="shared" si="0"/>
        <v>0</v>
      </c>
    </row>
    <row r="897" spans="1:6" x14ac:dyDescent="0.35">
      <c r="F897">
        <f t="shared" si="0"/>
        <v>0</v>
      </c>
    </row>
    <row r="898" spans="1:6" x14ac:dyDescent="0.35">
      <c r="A898" t="s">
        <v>73</v>
      </c>
      <c r="B898" t="s">
        <v>465</v>
      </c>
      <c r="C898" t="s">
        <v>60</v>
      </c>
      <c r="D898">
        <v>2</v>
      </c>
      <c r="F898">
        <f t="shared" si="0"/>
        <v>0</v>
      </c>
    </row>
    <row r="899" spans="1:6" x14ac:dyDescent="0.35">
      <c r="F899">
        <f t="shared" si="0"/>
        <v>0</v>
      </c>
    </row>
    <row r="900" spans="1:6" x14ac:dyDescent="0.35">
      <c r="A900" t="s">
        <v>75</v>
      </c>
      <c r="B900" t="s">
        <v>466</v>
      </c>
      <c r="C900" t="s">
        <v>60</v>
      </c>
      <c r="D900">
        <v>12</v>
      </c>
      <c r="E900" s="1">
        <v>330</v>
      </c>
      <c r="F900">
        <f t="shared" si="0"/>
        <v>3960</v>
      </c>
    </row>
    <row r="901" spans="1:6" x14ac:dyDescent="0.35">
      <c r="F901">
        <f t="shared" si="0"/>
        <v>0</v>
      </c>
    </row>
    <row r="902" spans="1:6" x14ac:dyDescent="0.35">
      <c r="A902" t="s">
        <v>77</v>
      </c>
      <c r="B902" t="s">
        <v>467</v>
      </c>
      <c r="C902" t="s">
        <v>64</v>
      </c>
      <c r="D902">
        <v>16</v>
      </c>
      <c r="F902">
        <f t="shared" si="0"/>
        <v>0</v>
      </c>
    </row>
    <row r="903" spans="1:6" x14ac:dyDescent="0.35">
      <c r="F903">
        <f t="shared" si="0"/>
        <v>0</v>
      </c>
    </row>
    <row r="904" spans="1:6" x14ac:dyDescent="0.35">
      <c r="A904" t="s">
        <v>79</v>
      </c>
      <c r="B904" t="s">
        <v>451</v>
      </c>
      <c r="C904" t="s">
        <v>180</v>
      </c>
      <c r="D904">
        <v>2</v>
      </c>
      <c r="F904">
        <f t="shared" si="0"/>
        <v>0</v>
      </c>
    </row>
    <row r="905" spans="1:6" x14ac:dyDescent="0.35">
      <c r="F905">
        <f t="shared" si="0"/>
        <v>0</v>
      </c>
    </row>
    <row r="906" spans="1:6" x14ac:dyDescent="0.35">
      <c r="A906" t="s">
        <v>81</v>
      </c>
      <c r="B906" t="s">
        <v>468</v>
      </c>
      <c r="C906" t="s">
        <v>180</v>
      </c>
      <c r="D906">
        <v>2</v>
      </c>
      <c r="E906" s="1">
        <v>385</v>
      </c>
      <c r="F906">
        <f t="shared" si="0"/>
        <v>770</v>
      </c>
    </row>
    <row r="907" spans="1:6" x14ac:dyDescent="0.35">
      <c r="F907">
        <f t="shared" si="0"/>
        <v>0</v>
      </c>
    </row>
    <row r="908" spans="1:6" x14ac:dyDescent="0.35">
      <c r="A908" t="s">
        <v>84</v>
      </c>
      <c r="B908" t="s">
        <v>469</v>
      </c>
      <c r="C908" t="s">
        <v>60</v>
      </c>
      <c r="D908">
        <v>9</v>
      </c>
      <c r="E908" s="1">
        <v>88</v>
      </c>
      <c r="F908">
        <f t="shared" si="0"/>
        <v>792</v>
      </c>
    </row>
    <row r="909" spans="1:6" x14ac:dyDescent="0.35">
      <c r="F909">
        <f t="shared" si="0"/>
        <v>0</v>
      </c>
    </row>
    <row r="910" spans="1:6" x14ac:dyDescent="0.35">
      <c r="A910" t="s">
        <v>86</v>
      </c>
      <c r="B910" t="s">
        <v>470</v>
      </c>
      <c r="C910" t="s">
        <v>125</v>
      </c>
      <c r="D910">
        <v>12</v>
      </c>
      <c r="E910" s="1">
        <v>495</v>
      </c>
      <c r="F910">
        <f t="shared" si="0"/>
        <v>5940</v>
      </c>
    </row>
    <row r="911" spans="1:6" x14ac:dyDescent="0.35">
      <c r="F911">
        <f t="shared" si="0"/>
        <v>0</v>
      </c>
    </row>
    <row r="912" spans="1:6" x14ac:dyDescent="0.35">
      <c r="A912" t="s">
        <v>90</v>
      </c>
      <c r="B912" t="s">
        <v>471</v>
      </c>
      <c r="C912" t="s">
        <v>125</v>
      </c>
      <c r="D912">
        <v>12</v>
      </c>
      <c r="E912" s="1">
        <v>495</v>
      </c>
      <c r="F912">
        <f t="shared" si="0"/>
        <v>5940</v>
      </c>
    </row>
    <row r="913" spans="1:6" x14ac:dyDescent="0.35">
      <c r="F913" t="str">
        <f>IF(D913&gt;0,D913*E913,"")</f>
        <v/>
      </c>
    </row>
    <row r="914" spans="1:6" x14ac:dyDescent="0.35">
      <c r="B914" t="s">
        <v>472</v>
      </c>
      <c r="E914" t="s">
        <v>50</v>
      </c>
      <c r="F914">
        <f>SUM(F884:F912)</f>
        <v>51106</v>
      </c>
    </row>
    <row r="915" spans="1:6" x14ac:dyDescent="0.35">
      <c r="A915" s="5"/>
      <c r="B915" s="5"/>
      <c r="C915" s="5"/>
      <c r="D915" s="5"/>
      <c r="E915" s="5"/>
      <c r="F915" s="5"/>
    </row>
    <row r="916" spans="1:6" x14ac:dyDescent="0.35">
      <c r="A916" s="3"/>
      <c r="B916" s="6" t="s">
        <v>473</v>
      </c>
      <c r="C916" s="6"/>
      <c r="D916" s="6"/>
      <c r="E916" s="6"/>
    </row>
    <row r="917" spans="1:6" x14ac:dyDescent="0.35">
      <c r="A917" s="3"/>
      <c r="B917" s="6" t="s">
        <v>474</v>
      </c>
      <c r="C917" s="6"/>
      <c r="D917" s="6"/>
      <c r="E917" s="6"/>
    </row>
    <row r="918" spans="1:6" x14ac:dyDescent="0.35">
      <c r="B918" s="5"/>
      <c r="C918" s="5"/>
      <c r="D918" s="5"/>
      <c r="E918" s="5"/>
    </row>
    <row r="919" spans="1:6" s="2" customFormat="1" x14ac:dyDescent="0.35">
      <c r="A919" s="2" t="s">
        <v>5</v>
      </c>
      <c r="B919" s="2" t="s">
        <v>6</v>
      </c>
      <c r="C919" s="2" t="s">
        <v>7</v>
      </c>
      <c r="D919" s="2" t="s">
        <v>8</v>
      </c>
      <c r="E919" s="2" t="s">
        <v>9</v>
      </c>
      <c r="F919" s="2" t="s">
        <v>10</v>
      </c>
    </row>
    <row r="921" spans="1:6" x14ac:dyDescent="0.35">
      <c r="A921">
        <v>6</v>
      </c>
      <c r="B921" t="s">
        <v>474</v>
      </c>
    </row>
    <row r="923" spans="1:6" x14ac:dyDescent="0.35">
      <c r="B923" t="s">
        <v>475</v>
      </c>
    </row>
    <row r="925" spans="1:6" x14ac:dyDescent="0.35">
      <c r="A925" t="s">
        <v>44</v>
      </c>
      <c r="B925" t="s">
        <v>476</v>
      </c>
      <c r="C925" t="s">
        <v>125</v>
      </c>
      <c r="D925">
        <v>12</v>
      </c>
      <c r="F925">
        <f>D925*E925</f>
        <v>0</v>
      </c>
    </row>
    <row r="927" spans="1:6" x14ac:dyDescent="0.35">
      <c r="A927" t="s">
        <v>47</v>
      </c>
      <c r="B927" t="s">
        <v>477</v>
      </c>
      <c r="C927" t="s">
        <v>64</v>
      </c>
      <c r="D927">
        <v>1</v>
      </c>
      <c r="E927" s="1">
        <v>308</v>
      </c>
      <c r="F927">
        <f>D927*E927</f>
        <v>308</v>
      </c>
    </row>
    <row r="929" spans="1:6" x14ac:dyDescent="0.35">
      <c r="A929" t="s">
        <v>62</v>
      </c>
      <c r="B929" t="s">
        <v>478</v>
      </c>
      <c r="C929" t="s">
        <v>125</v>
      </c>
      <c r="D929">
        <v>5</v>
      </c>
      <c r="F929">
        <f>D929*E929</f>
        <v>0</v>
      </c>
    </row>
    <row r="931" spans="1:6" x14ac:dyDescent="0.35">
      <c r="A931" t="s">
        <v>65</v>
      </c>
      <c r="B931" t="s">
        <v>479</v>
      </c>
      <c r="C931" t="s">
        <v>125</v>
      </c>
      <c r="D931">
        <v>6</v>
      </c>
      <c r="E931" s="1">
        <v>550</v>
      </c>
      <c r="F931">
        <f>D931*E931</f>
        <v>3300</v>
      </c>
    </row>
    <row r="933" spans="1:6" x14ac:dyDescent="0.35">
      <c r="A933" t="s">
        <v>67</v>
      </c>
      <c r="B933" t="s">
        <v>480</v>
      </c>
      <c r="C933" t="s">
        <v>125</v>
      </c>
      <c r="D933">
        <v>6</v>
      </c>
      <c r="F933">
        <f>D933*E933</f>
        <v>0</v>
      </c>
    </row>
    <row r="935" spans="1:6" x14ac:dyDescent="0.35">
      <c r="B935" t="s">
        <v>481</v>
      </c>
    </row>
    <row r="937" spans="1:6" x14ac:dyDescent="0.35">
      <c r="A937" t="s">
        <v>69</v>
      </c>
      <c r="B937" t="s">
        <v>482</v>
      </c>
      <c r="C937" t="s">
        <v>180</v>
      </c>
      <c r="D937">
        <v>1</v>
      </c>
      <c r="F937">
        <f>D937*E937</f>
        <v>0</v>
      </c>
    </row>
    <row r="938" spans="1:6" x14ac:dyDescent="0.35">
      <c r="F938" t="str">
        <f>IF(D938&gt;0,D938*E938,"")</f>
        <v/>
      </c>
    </row>
    <row r="939" spans="1:6" x14ac:dyDescent="0.35">
      <c r="B939" t="s">
        <v>483</v>
      </c>
      <c r="E939" t="s">
        <v>50</v>
      </c>
      <c r="F939">
        <f>SUM(F924:F937)</f>
        <v>3608</v>
      </c>
    </row>
    <row r="940" spans="1:6" x14ac:dyDescent="0.35">
      <c r="A940" s="5"/>
      <c r="B940" s="5"/>
      <c r="C940" s="5"/>
      <c r="D940" s="5"/>
      <c r="E940" s="5"/>
      <c r="F940" s="5"/>
    </row>
    <row r="941" spans="1:6" x14ac:dyDescent="0.35">
      <c r="A941" s="3"/>
      <c r="B941" s="6" t="s">
        <v>484</v>
      </c>
      <c r="C941" s="6"/>
      <c r="D941" s="6"/>
      <c r="E941" s="6"/>
    </row>
    <row r="942" spans="1:6" x14ac:dyDescent="0.35">
      <c r="A942" s="3"/>
      <c r="B942" s="6" t="s">
        <v>485</v>
      </c>
      <c r="C942" s="6"/>
      <c r="D942" s="6"/>
      <c r="E942" s="6"/>
    </row>
    <row r="943" spans="1:6" x14ac:dyDescent="0.35">
      <c r="B943" s="5"/>
      <c r="C943" s="5"/>
      <c r="D943" s="5"/>
      <c r="E943" s="5"/>
    </row>
    <row r="944" spans="1:6" s="2" customFormat="1" x14ac:dyDescent="0.35">
      <c r="A944" s="2" t="s">
        <v>5</v>
      </c>
      <c r="B944" s="2" t="s">
        <v>6</v>
      </c>
      <c r="C944" s="2" t="s">
        <v>7</v>
      </c>
      <c r="D944" s="2" t="s">
        <v>8</v>
      </c>
      <c r="E944" s="2" t="s">
        <v>9</v>
      </c>
      <c r="F944" s="2" t="s">
        <v>10</v>
      </c>
    </row>
    <row r="946" spans="1:6" x14ac:dyDescent="0.35">
      <c r="A946">
        <v>7</v>
      </c>
      <c r="B946" t="s">
        <v>485</v>
      </c>
    </row>
    <row r="948" spans="1:6" x14ac:dyDescent="0.35">
      <c r="B948" t="s">
        <v>486</v>
      </c>
    </row>
    <row r="950" spans="1:6" x14ac:dyDescent="0.35">
      <c r="A950" t="s">
        <v>44</v>
      </c>
      <c r="B950" t="s">
        <v>487</v>
      </c>
      <c r="C950" t="s">
        <v>64</v>
      </c>
      <c r="D950">
        <v>12</v>
      </c>
      <c r="E950" s="1">
        <v>154</v>
      </c>
      <c r="F950">
        <f>D950*E950</f>
        <v>1848</v>
      </c>
    </row>
    <row r="952" spans="1:6" x14ac:dyDescent="0.35">
      <c r="B952" t="s">
        <v>488</v>
      </c>
      <c r="C952">
        <v>0</v>
      </c>
    </row>
    <row r="954" spans="1:6" x14ac:dyDescent="0.35">
      <c r="A954" t="s">
        <v>47</v>
      </c>
      <c r="B954" t="s">
        <v>489</v>
      </c>
      <c r="C954" t="s">
        <v>60</v>
      </c>
      <c r="D954">
        <v>12</v>
      </c>
      <c r="F954">
        <f>D954*E954</f>
        <v>0</v>
      </c>
    </row>
    <row r="956" spans="1:6" x14ac:dyDescent="0.35">
      <c r="B956" t="s">
        <v>490</v>
      </c>
    </row>
    <row r="958" spans="1:6" x14ac:dyDescent="0.35">
      <c r="A958" t="s">
        <v>62</v>
      </c>
      <c r="B958" t="s">
        <v>491</v>
      </c>
      <c r="C958" t="s">
        <v>64</v>
      </c>
      <c r="D958">
        <v>5</v>
      </c>
      <c r="E958" s="1">
        <v>132</v>
      </c>
      <c r="F958">
        <f>D958*E958</f>
        <v>660</v>
      </c>
    </row>
    <row r="960" spans="1:6" x14ac:dyDescent="0.35">
      <c r="B960" t="s">
        <v>492</v>
      </c>
    </row>
    <row r="962" spans="1:6" x14ac:dyDescent="0.35">
      <c r="A962" t="s">
        <v>65</v>
      </c>
      <c r="B962" t="s">
        <v>493</v>
      </c>
      <c r="C962" t="s">
        <v>64</v>
      </c>
      <c r="D962">
        <v>7</v>
      </c>
      <c r="E962" s="1">
        <v>275</v>
      </c>
      <c r="F962">
        <f>D962*E962</f>
        <v>1925</v>
      </c>
    </row>
    <row r="964" spans="1:6" x14ac:dyDescent="0.35">
      <c r="B964" t="s">
        <v>494</v>
      </c>
    </row>
    <row r="966" spans="1:6" x14ac:dyDescent="0.35">
      <c r="A966" t="s">
        <v>67</v>
      </c>
      <c r="B966" t="s">
        <v>78</v>
      </c>
      <c r="C966" t="s">
        <v>46</v>
      </c>
      <c r="D966">
        <v>1</v>
      </c>
      <c r="E966" s="1">
        <v>3300</v>
      </c>
      <c r="F966">
        <f>D966*E966</f>
        <v>3300</v>
      </c>
    </row>
    <row r="968" spans="1:6" x14ac:dyDescent="0.35">
      <c r="B968" t="s">
        <v>495</v>
      </c>
    </row>
    <row r="970" spans="1:6" x14ac:dyDescent="0.35">
      <c r="A970" t="s">
        <v>69</v>
      </c>
      <c r="B970" t="s">
        <v>496</v>
      </c>
      <c r="C970" t="s">
        <v>46</v>
      </c>
      <c r="D970">
        <v>1</v>
      </c>
      <c r="F970">
        <f>D970*E970</f>
        <v>0</v>
      </c>
    </row>
    <row r="972" spans="1:6" x14ac:dyDescent="0.35">
      <c r="B972" t="s">
        <v>497</v>
      </c>
      <c r="E972" t="s">
        <v>50</v>
      </c>
      <c r="F972">
        <f>SUM(F948:F970)</f>
        <v>7733</v>
      </c>
    </row>
    <row r="974" spans="1:6" x14ac:dyDescent="0.35">
      <c r="B974" t="s">
        <v>141</v>
      </c>
    </row>
    <row r="976" spans="1:6" x14ac:dyDescent="0.35">
      <c r="B976" t="s">
        <v>498</v>
      </c>
    </row>
    <row r="978" spans="1:6" x14ac:dyDescent="0.35">
      <c r="B978" t="s">
        <v>89</v>
      </c>
    </row>
    <row r="980" spans="1:6" x14ac:dyDescent="0.35">
      <c r="A980" t="s">
        <v>44</v>
      </c>
      <c r="B980" t="s">
        <v>91</v>
      </c>
      <c r="C980" t="s">
        <v>64</v>
      </c>
      <c r="D980">
        <v>0.60000000000000009</v>
      </c>
      <c r="E980" s="1">
        <v>2530</v>
      </c>
      <c r="F980">
        <f>D980*E980</f>
        <v>1518.0000000000002</v>
      </c>
    </row>
    <row r="982" spans="1:6" x14ac:dyDescent="0.35">
      <c r="B982" t="s">
        <v>499</v>
      </c>
    </row>
    <row r="984" spans="1:6" x14ac:dyDescent="0.35">
      <c r="A984" t="s">
        <v>47</v>
      </c>
      <c r="B984" t="s">
        <v>500</v>
      </c>
      <c r="C984" t="s">
        <v>64</v>
      </c>
      <c r="D984">
        <v>5</v>
      </c>
      <c r="E984" s="1">
        <v>5280</v>
      </c>
      <c r="F984">
        <f>D984*E984</f>
        <v>26400</v>
      </c>
    </row>
    <row r="986" spans="1:6" x14ac:dyDescent="0.35">
      <c r="A986" t="s">
        <v>62</v>
      </c>
      <c r="B986" t="s">
        <v>501</v>
      </c>
      <c r="C986" t="s">
        <v>64</v>
      </c>
      <c r="D986">
        <v>0.6</v>
      </c>
      <c r="E986" s="1">
        <v>5280</v>
      </c>
      <c r="F986">
        <f>D986*E986</f>
        <v>3168</v>
      </c>
    </row>
    <row r="988" spans="1:6" x14ac:dyDescent="0.35">
      <c r="B988" t="s">
        <v>119</v>
      </c>
    </row>
    <row r="990" spans="1:6" x14ac:dyDescent="0.35">
      <c r="A990" t="s">
        <v>65</v>
      </c>
      <c r="B990" t="s">
        <v>502</v>
      </c>
      <c r="C990" t="s">
        <v>60</v>
      </c>
      <c r="D990">
        <v>4</v>
      </c>
      <c r="E990" s="1">
        <v>385</v>
      </c>
      <c r="F990">
        <f>D990*E990</f>
        <v>1540</v>
      </c>
    </row>
    <row r="992" spans="1:6" x14ac:dyDescent="0.35">
      <c r="B992" t="s">
        <v>503</v>
      </c>
    </row>
    <row r="994" spans="1:6" x14ac:dyDescent="0.35">
      <c r="B994" t="s">
        <v>108</v>
      </c>
    </row>
    <row r="996" spans="1:6" x14ac:dyDescent="0.35">
      <c r="A996" t="s">
        <v>67</v>
      </c>
      <c r="B996" t="s">
        <v>113</v>
      </c>
      <c r="C996" t="s">
        <v>504</v>
      </c>
      <c r="D996">
        <v>15</v>
      </c>
      <c r="E996" s="1">
        <v>46.2</v>
      </c>
      <c r="F996">
        <f>D996*E996</f>
        <v>693</v>
      </c>
    </row>
    <row r="998" spans="1:6" x14ac:dyDescent="0.35">
      <c r="A998" t="s">
        <v>69</v>
      </c>
      <c r="B998" t="s">
        <v>505</v>
      </c>
      <c r="C998" t="s">
        <v>504</v>
      </c>
      <c r="D998">
        <v>118</v>
      </c>
      <c r="F998">
        <f>D998*E998</f>
        <v>0</v>
      </c>
    </row>
    <row r="1000" spans="1:6" x14ac:dyDescent="0.35">
      <c r="A1000" t="s">
        <v>71</v>
      </c>
      <c r="B1000" t="s">
        <v>506</v>
      </c>
      <c r="C1000" t="s">
        <v>504</v>
      </c>
      <c r="D1000">
        <v>57</v>
      </c>
      <c r="F1000">
        <f>D1000*E1000</f>
        <v>0</v>
      </c>
    </row>
    <row r="1002" spans="1:6" x14ac:dyDescent="0.35">
      <c r="B1002" t="s">
        <v>182</v>
      </c>
    </row>
    <row r="1004" spans="1:6" x14ac:dyDescent="0.35">
      <c r="A1004" t="s">
        <v>73</v>
      </c>
      <c r="B1004" t="s">
        <v>183</v>
      </c>
      <c r="C1004" t="s">
        <v>180</v>
      </c>
      <c r="D1004">
        <v>16</v>
      </c>
      <c r="E1004" s="1">
        <v>385</v>
      </c>
      <c r="F1004">
        <f>D1004*E1004</f>
        <v>6160</v>
      </c>
    </row>
    <row r="1006" spans="1:6" x14ac:dyDescent="0.35">
      <c r="B1006" t="s">
        <v>507</v>
      </c>
    </row>
    <row r="1008" spans="1:6" x14ac:dyDescent="0.35">
      <c r="A1008" t="s">
        <v>75</v>
      </c>
      <c r="B1008" t="s">
        <v>508</v>
      </c>
      <c r="C1008" t="s">
        <v>46</v>
      </c>
      <c r="D1008">
        <v>1</v>
      </c>
      <c r="E1008" s="1">
        <v>5500</v>
      </c>
      <c r="F1008">
        <f>D1008*E1008</f>
        <v>5500</v>
      </c>
    </row>
    <row r="1010" spans="1:6" x14ac:dyDescent="0.35">
      <c r="B1010" t="s">
        <v>509</v>
      </c>
      <c r="E1010" t="s">
        <v>50</v>
      </c>
      <c r="F1010">
        <f>SUM(F979:F1008)</f>
        <v>44979</v>
      </c>
    </row>
    <row r="1012" spans="1:6" x14ac:dyDescent="0.35">
      <c r="B1012" t="s">
        <v>169</v>
      </c>
    </row>
    <row r="1014" spans="1:6" x14ac:dyDescent="0.35">
      <c r="B1014" t="s">
        <v>170</v>
      </c>
    </row>
    <row r="1016" spans="1:6" x14ac:dyDescent="0.35">
      <c r="A1016" t="s">
        <v>44</v>
      </c>
      <c r="B1016" t="s">
        <v>510</v>
      </c>
      <c r="C1016" t="s">
        <v>111</v>
      </c>
      <c r="D1016">
        <v>153</v>
      </c>
      <c r="F1016">
        <f>D1016*E1016</f>
        <v>0</v>
      </c>
    </row>
    <row r="1018" spans="1:6" x14ac:dyDescent="0.35">
      <c r="A1018" t="s">
        <v>47</v>
      </c>
      <c r="B1018" t="s">
        <v>511</v>
      </c>
      <c r="C1018" t="s">
        <v>111</v>
      </c>
      <c r="D1018">
        <v>433</v>
      </c>
      <c r="F1018">
        <f>D1018*E1018</f>
        <v>0</v>
      </c>
    </row>
    <row r="1020" spans="1:6" x14ac:dyDescent="0.35">
      <c r="A1020" t="s">
        <v>62</v>
      </c>
      <c r="B1020" t="s">
        <v>512</v>
      </c>
      <c r="C1020" t="s">
        <v>111</v>
      </c>
      <c r="D1020">
        <v>198</v>
      </c>
      <c r="F1020">
        <f>D1020*E1020</f>
        <v>0</v>
      </c>
    </row>
    <row r="1022" spans="1:6" x14ac:dyDescent="0.35">
      <c r="A1022" t="s">
        <v>65</v>
      </c>
      <c r="B1022" t="s">
        <v>513</v>
      </c>
      <c r="C1022" t="s">
        <v>111</v>
      </c>
      <c r="D1022">
        <v>135</v>
      </c>
      <c r="E1022" s="1">
        <v>132</v>
      </c>
      <c r="F1022">
        <f>D1022*E1022</f>
        <v>17820</v>
      </c>
    </row>
    <row r="1024" spans="1:6" x14ac:dyDescent="0.35">
      <c r="A1024" t="s">
        <v>67</v>
      </c>
      <c r="B1024" t="s">
        <v>514</v>
      </c>
      <c r="C1024" t="s">
        <v>111</v>
      </c>
      <c r="D1024">
        <v>178</v>
      </c>
      <c r="F1024">
        <f>D1024*E1024</f>
        <v>0</v>
      </c>
    </row>
    <row r="1026" spans="1:6" x14ac:dyDescent="0.35">
      <c r="A1026" t="s">
        <v>69</v>
      </c>
      <c r="B1026" t="s">
        <v>515</v>
      </c>
      <c r="C1026" t="s">
        <v>111</v>
      </c>
      <c r="D1026">
        <v>98</v>
      </c>
      <c r="F1026">
        <f>D1026*E1026</f>
        <v>0</v>
      </c>
    </row>
    <row r="1028" spans="1:6" x14ac:dyDescent="0.35">
      <c r="A1028" t="s">
        <v>71</v>
      </c>
      <c r="B1028" t="s">
        <v>178</v>
      </c>
      <c r="C1028" t="s">
        <v>111</v>
      </c>
      <c r="D1028">
        <v>72</v>
      </c>
      <c r="E1028" s="1">
        <v>132</v>
      </c>
      <c r="F1028">
        <f>D1028*E1028</f>
        <v>9504</v>
      </c>
    </row>
    <row r="1030" spans="1:6" x14ac:dyDescent="0.35">
      <c r="A1030" t="s">
        <v>73</v>
      </c>
      <c r="B1030" t="s">
        <v>178</v>
      </c>
      <c r="C1030" t="s">
        <v>111</v>
      </c>
      <c r="D1030">
        <v>72</v>
      </c>
      <c r="E1030" s="1">
        <v>132</v>
      </c>
      <c r="F1030">
        <f>D1030*E1030</f>
        <v>9504</v>
      </c>
    </row>
    <row r="1032" spans="1:6" x14ac:dyDescent="0.35">
      <c r="A1032" t="s">
        <v>75</v>
      </c>
      <c r="B1032" t="s">
        <v>516</v>
      </c>
      <c r="C1032" t="s">
        <v>60</v>
      </c>
      <c r="D1032">
        <v>10</v>
      </c>
      <c r="F1032">
        <f>D1032*E1032</f>
        <v>0</v>
      </c>
    </row>
    <row r="1034" spans="1:6" x14ac:dyDescent="0.35">
      <c r="A1034" t="s">
        <v>77</v>
      </c>
      <c r="B1034" t="s">
        <v>517</v>
      </c>
      <c r="C1034" t="s">
        <v>180</v>
      </c>
      <c r="D1034">
        <v>96</v>
      </c>
      <c r="E1034" s="1">
        <v>198</v>
      </c>
      <c r="F1034">
        <f>D1034*E1034</f>
        <v>19008</v>
      </c>
    </row>
    <row r="1036" spans="1:6" x14ac:dyDescent="0.35">
      <c r="B1036" t="s">
        <v>182</v>
      </c>
    </row>
    <row r="1038" spans="1:6" x14ac:dyDescent="0.35">
      <c r="A1038" t="s">
        <v>79</v>
      </c>
      <c r="B1038" t="s">
        <v>183</v>
      </c>
      <c r="C1038" t="s">
        <v>180</v>
      </c>
      <c r="D1038">
        <v>16</v>
      </c>
      <c r="E1038" s="1">
        <v>385</v>
      </c>
      <c r="F1038">
        <f>D1038*E1038</f>
        <v>6160</v>
      </c>
    </row>
    <row r="1040" spans="1:6" x14ac:dyDescent="0.35">
      <c r="B1040" t="s">
        <v>184</v>
      </c>
    </row>
    <row r="1042" spans="1:6" x14ac:dyDescent="0.35">
      <c r="B1042" t="s">
        <v>185</v>
      </c>
    </row>
    <row r="1044" spans="1:6" x14ac:dyDescent="0.35">
      <c r="A1044" t="s">
        <v>81</v>
      </c>
      <c r="B1044" t="s">
        <v>186</v>
      </c>
      <c r="C1044" t="s">
        <v>111</v>
      </c>
      <c r="D1044">
        <v>1339</v>
      </c>
      <c r="E1044" s="1">
        <v>5.5</v>
      </c>
      <c r="F1044">
        <f>D1044*E1044</f>
        <v>7364.5</v>
      </c>
    </row>
    <row r="1046" spans="1:6" x14ac:dyDescent="0.35">
      <c r="B1046" t="s">
        <v>518</v>
      </c>
    </row>
    <row r="1048" spans="1:6" x14ac:dyDescent="0.35">
      <c r="A1048" t="s">
        <v>84</v>
      </c>
      <c r="B1048" t="s">
        <v>519</v>
      </c>
      <c r="C1048" t="s">
        <v>520</v>
      </c>
      <c r="D1048">
        <v>1</v>
      </c>
      <c r="E1048" s="1">
        <v>22000</v>
      </c>
      <c r="F1048">
        <f>D1048*E1048</f>
        <v>22000</v>
      </c>
    </row>
    <row r="1050" spans="1:6" x14ac:dyDescent="0.35">
      <c r="B1050" t="s">
        <v>187</v>
      </c>
      <c r="E1050" t="s">
        <v>50</v>
      </c>
      <c r="F1050">
        <f>SUM(F1015:F1048)</f>
        <v>91360.5</v>
      </c>
    </row>
    <row r="1052" spans="1:6" x14ac:dyDescent="0.35">
      <c r="B1052" s="5" t="s">
        <v>485</v>
      </c>
      <c r="C1052" s="5"/>
      <c r="D1052" s="5"/>
      <c r="E1052" s="5"/>
    </row>
    <row r="1054" spans="1:6" x14ac:dyDescent="0.35">
      <c r="B1054" s="5" t="s">
        <v>521</v>
      </c>
      <c r="C1054" s="5"/>
      <c r="D1054" s="5"/>
      <c r="E1054" s="5"/>
    </row>
    <row r="1056" spans="1:6" x14ac:dyDescent="0.35">
      <c r="A1056" t="s">
        <v>522</v>
      </c>
      <c r="B1056" t="s">
        <v>6</v>
      </c>
      <c r="F1056" t="s">
        <v>10</v>
      </c>
    </row>
    <row r="1058" spans="1:6" x14ac:dyDescent="0.35">
      <c r="A1058">
        <v>1</v>
      </c>
      <c r="B1058" t="s">
        <v>523</v>
      </c>
      <c r="F1058">
        <f>F972</f>
        <v>7733</v>
      </c>
    </row>
    <row r="1060" spans="1:6" x14ac:dyDescent="0.35">
      <c r="A1060">
        <v>2</v>
      </c>
      <c r="B1060" t="s">
        <v>141</v>
      </c>
      <c r="F1060">
        <f>F1010</f>
        <v>44979</v>
      </c>
    </row>
    <row r="1062" spans="1:6" x14ac:dyDescent="0.35">
      <c r="A1062">
        <v>3</v>
      </c>
      <c r="B1062" t="s">
        <v>169</v>
      </c>
      <c r="F1062">
        <f>F1050</f>
        <v>91360.5</v>
      </c>
    </row>
    <row r="1065" spans="1:6" x14ac:dyDescent="0.35">
      <c r="B1065" t="s">
        <v>483</v>
      </c>
      <c r="E1065" t="s">
        <v>50</v>
      </c>
      <c r="F1065">
        <f>SUM(F1058:F1063)</f>
        <v>144072.5</v>
      </c>
    </row>
    <row r="1066" spans="1:6" x14ac:dyDescent="0.35">
      <c r="A1066" s="2"/>
      <c r="B1066" s="2"/>
      <c r="C1066" s="2"/>
      <c r="D1066" s="2"/>
      <c r="E1066" s="2"/>
    </row>
    <row r="1067" spans="1:6" x14ac:dyDescent="0.35">
      <c r="A1067" s="2"/>
      <c r="B1067" s="4" t="s">
        <v>524</v>
      </c>
      <c r="C1067" s="4"/>
      <c r="D1067" s="4"/>
      <c r="E1067" s="4"/>
    </row>
    <row r="1068" spans="1:6" x14ac:dyDescent="0.35">
      <c r="A1068" s="2"/>
      <c r="B1068" s="4" t="s">
        <v>525</v>
      </c>
      <c r="C1068" s="4"/>
      <c r="D1068" s="4"/>
      <c r="E1068" s="4"/>
    </row>
    <row r="1070" spans="1:6" x14ac:dyDescent="0.35">
      <c r="F1070" t="s">
        <v>10</v>
      </c>
    </row>
    <row r="1072" spans="1:6" x14ac:dyDescent="0.35">
      <c r="A1072">
        <v>1</v>
      </c>
      <c r="B1072" t="s">
        <v>526</v>
      </c>
      <c r="F1072">
        <f>F52</f>
        <v>0</v>
      </c>
    </row>
    <row r="1074" spans="1:6" x14ac:dyDescent="0.35">
      <c r="A1074">
        <v>2</v>
      </c>
      <c r="B1074" t="s">
        <v>527</v>
      </c>
      <c r="F1074">
        <f>F443</f>
        <v>1705673.2</v>
      </c>
    </row>
    <row r="1076" spans="1:6" x14ac:dyDescent="0.35">
      <c r="A1076">
        <v>3</v>
      </c>
      <c r="B1076" t="s">
        <v>528</v>
      </c>
      <c r="F1076">
        <f>F822</f>
        <v>189916.09999999998</v>
      </c>
    </row>
    <row r="1078" spans="1:6" x14ac:dyDescent="0.35">
      <c r="A1078">
        <v>4</v>
      </c>
      <c r="B1078" t="s">
        <v>529</v>
      </c>
      <c r="F1078">
        <f>F875</f>
        <v>57948</v>
      </c>
    </row>
    <row r="1080" spans="1:6" x14ac:dyDescent="0.35">
      <c r="A1080">
        <v>5</v>
      </c>
      <c r="B1080" t="s">
        <v>530</v>
      </c>
      <c r="F1080">
        <f>F914</f>
        <v>51106</v>
      </c>
    </row>
    <row r="1082" spans="1:6" x14ac:dyDescent="0.35">
      <c r="A1082">
        <v>6</v>
      </c>
      <c r="B1082" t="s">
        <v>531</v>
      </c>
      <c r="F1082">
        <f>F939</f>
        <v>3608</v>
      </c>
    </row>
    <row r="1084" spans="1:6" x14ac:dyDescent="0.35">
      <c r="A1084">
        <v>7</v>
      </c>
      <c r="B1084" t="s">
        <v>532</v>
      </c>
      <c r="F1084">
        <f>F1065</f>
        <v>144072.5</v>
      </c>
    </row>
    <row r="1086" spans="1:6" x14ac:dyDescent="0.35">
      <c r="B1086" t="s">
        <v>533</v>
      </c>
      <c r="E1086" t="s">
        <v>50</v>
      </c>
      <c r="F1086">
        <f>SUM(F1072:F1084)</f>
        <v>2152323.7999999998</v>
      </c>
    </row>
  </sheetData>
  <mergeCells count="38">
    <mergeCell ref="B447:E447"/>
    <mergeCell ref="B3:E3"/>
    <mergeCell ref="B4:E4"/>
    <mergeCell ref="B5:E5"/>
    <mergeCell ref="B6:E6"/>
    <mergeCell ref="B54:E54"/>
    <mergeCell ref="B55:E55"/>
    <mergeCell ref="A444:F444"/>
    <mergeCell ref="B445:E445"/>
    <mergeCell ref="B446:E446"/>
    <mergeCell ref="B420:E420"/>
    <mergeCell ref="B2:E2"/>
    <mergeCell ref="B42:E42"/>
    <mergeCell ref="B43:E43"/>
    <mergeCell ref="B418:E418"/>
    <mergeCell ref="B419:E419"/>
    <mergeCell ref="B798:E798"/>
    <mergeCell ref="B799:E799"/>
    <mergeCell ref="A876:F876"/>
    <mergeCell ref="B877:E877"/>
    <mergeCell ref="B879:E879"/>
    <mergeCell ref="B825:E825"/>
    <mergeCell ref="A823:F823"/>
    <mergeCell ref="B824:E824"/>
    <mergeCell ref="B826:E826"/>
    <mergeCell ref="A915:F915"/>
    <mergeCell ref="B916:E916"/>
    <mergeCell ref="B918:E918"/>
    <mergeCell ref="B917:E917"/>
    <mergeCell ref="B878:E878"/>
    <mergeCell ref="B1068:E1068"/>
    <mergeCell ref="A940:F940"/>
    <mergeCell ref="B941:E941"/>
    <mergeCell ref="B942:E942"/>
    <mergeCell ref="B943:E943"/>
    <mergeCell ref="B1054:E1054"/>
    <mergeCell ref="B1052:E1052"/>
    <mergeCell ref="B1067:E1067"/>
  </mergeCells>
  <pageMargins left="0.7" right="0.7" top="0.75" bottom="0.75" header="0.3" footer="0.3"/>
  <ignoredErrors>
    <ignoredError sqref="A1:F423 A425:F1066 A1068:F1086 A1067 C1067:F106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BOQ DRIP &amp; FILTER STATION</vt:lpstr>
      <vt:lpstr>'BOQ DRIP &amp; FILTER STATION'!Print_Area</vt:lpstr>
    </vt:vector>
  </TitlesOfParts>
  <Company>Illovo Sugar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Santi Obe - Nakambala</dc:creator>
  <cp:lastModifiedBy>Munashe</cp:lastModifiedBy>
  <cp:lastPrinted>2025-07-18T07:10:48Z</cp:lastPrinted>
  <dcterms:created xsi:type="dcterms:W3CDTF">2024-08-25T11:36:53Z</dcterms:created>
  <dcterms:modified xsi:type="dcterms:W3CDTF">2026-05-01T09:16:58Z</dcterms:modified>
</cp:coreProperties>
</file>