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160"/>
  </bookViews>
  <sheets>
    <sheet sheetId="1" name="BOQ Walkway &amp; Drainage" state="visible" r:id="rId4"/>
  </sheets>
  <calcPr calcId="171027"/>
</workbook>
</file>

<file path=xl/sharedStrings.xml><?xml version="1.0" encoding="utf-8"?>
<sst xmlns="http://schemas.openxmlformats.org/spreadsheetml/2006/main" count="152" uniqueCount="97">
  <si>
    <t>BILL OF QUANTITIES</t>
  </si>
  <si>
    <t>FOR</t>
  </si>
  <si>
    <t>PEOPLE VEHICLE SEPARATION (PH 4 OF 6)</t>
  </si>
  <si>
    <t>AT</t>
  </si>
  <si>
    <t>MARSHALING AND TOTAL FILLING STATION</t>
  </si>
  <si>
    <t>LOT 1</t>
  </si>
  <si>
    <t>ITEM NO</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</si>
  <si>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</si>
  <si>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</si>
  <si>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</si>
  <si>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</si>
  <si>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</si>
  <si>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</si>
  <si>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</si>
  <si>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</si>
  <si>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</si>
  <si>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</si>
  <si>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</si>
  <si>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</si>
  <si>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</si>
  <si>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</si>
  <si>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</si>
  <si>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</si>
  <si>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procurement of materials </t>
  </si>
  <si>
    <t>vi</t>
  </si>
  <si>
    <t>Samples of materials to be availed to the Engineer for approval prior to procurment; stones, reinforcements,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</si>
  <si>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</si>
  <si>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</si>
  <si>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</si>
  <si>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musk, work suit,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</si>
  <si>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</si>
  <si>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</si>
  <si>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</si>
  <si>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</si>
  <si>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</si>
  <si>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chuula dump site; provisionally 9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</si>
  <si>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</si>
  <si>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</si>
  <si>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</si>
  <si>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</si>
  <si>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</si>
  <si>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</si>
  <si>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</si>
  <si>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 xml:space="preserve">PRELIMINARY AND GENERAL ITEMS </t>
  </si>
  <si>
    <t>1.1</t>
  </si>
  <si>
    <t xml:space="preserve">Allow for mobilization, including but not limited to preparation, transportation and erecting constructional plant, equipment, offices, field laboratory on site, and preparatory works in commencing the execution of the works. </t>
  </si>
  <si>
    <t>LS</t>
  </si>
  <si>
    <t>1.2</t>
  </si>
  <si>
    <t>Allow for demobilization, including but not limited to removing and shipping construction plant and equipment, returning staff, removing temporary works, and cleaning the site as specified by site Engineer.</t>
  </si>
  <si>
    <t>TOTAL CARRIED TO SUMMARY OF BILL OF QUANTITIES</t>
  </si>
  <si>
    <t>ZMW</t>
  </si>
  <si>
    <t>BILL No. 2</t>
  </si>
  <si>
    <t>WALKWAY</t>
  </si>
  <si>
    <t>Site Preparation</t>
  </si>
  <si>
    <t>Cut to reduce levels, levelling  and compacting the ground well along walkways 3200mm wide ready to receive gravel (ms)</t>
  </si>
  <si>
    <t>m²</t>
  </si>
  <si>
    <t>Allow for wheeling, spreading, watering and compacting gravel (Gravel to be provided by Zambia Sugar)</t>
  </si>
  <si>
    <t>m³</t>
  </si>
  <si>
    <t>Excavation Works and Earthworks</t>
  </si>
  <si>
    <t>Common excavation of normal soils for edge beam and kerbstone size 400 x 300 x 250mm depth including backfilling and disposal of material as specified.</t>
  </si>
  <si>
    <t>Concrete Works</t>
  </si>
  <si>
    <t>Cast C25 concrete edge beam both sides in 300 x 200mm beam</t>
  </si>
  <si>
    <t>Cast reinforced in-situ concrete Paving ( Class 25/19) 80mm thick in walkway and shoulder</t>
  </si>
  <si>
    <t>Cast C25 concrete in bollards poles</t>
  </si>
  <si>
    <t>Supply and lay polythene sheet</t>
  </si>
  <si>
    <t xml:space="preserve"> "Conforce" mesh type 257 (2.57 kg/m²) or other equal and approved steel fabric reinforcement lapped minimum 150mm at sides and ends including all necessary bends, hooks, tying wire and distance blocks embedded in drain walls, bottom and top (measured net - no allowance made for laps)</t>
  </si>
  <si>
    <t>Kerbstones and bollards</t>
  </si>
  <si>
    <t>Supply and lay precast concrete 900 x 250 x 100mm ex. kerbs laying on conc. bases(ms) along the edges of the pavers in cem/sand 1:5mix mortar as directed by Engineer.</t>
  </si>
  <si>
    <t>m</t>
  </si>
  <si>
    <t xml:space="preserve">Allow for installation of 150mm diameter x 3.5mm round hollow section bollards approximatelly 1000mm long with one end cast into base spaced at 4m </t>
  </si>
  <si>
    <t>No.</t>
  </si>
  <si>
    <t>Yellow and black painting of kerbstone</t>
  </si>
  <si>
    <t xml:space="preserve">BILL NO 3. </t>
  </si>
  <si>
    <t>DRAINAGE</t>
  </si>
  <si>
    <t>3.1</t>
  </si>
  <si>
    <t>Excavate in "pickable material" and shaping to the required size for trapezaidal open drain starting at existing formation level not exceeding 1.50m deep and get out, load and dispose on site where directed</t>
  </si>
  <si>
    <t>Rip, scarify and compact top 150mm layer of in-situ material beneath SW channel to 93% MOD AASHTO to within ±2% of OMC</t>
  </si>
  <si>
    <t>Import G8 material and compact in 150mm layers to 93% MOD AASHTO to within ±2% of OMC Concrete works</t>
  </si>
  <si>
    <t>Cast in situ concrete lining class 25/19 for open drain with Class U2 finish, including formwork where required with Class F2 finish to trapezoidal drain</t>
  </si>
  <si>
    <t>Polyethylene sheeting (0,15 mm thick) for concrete-lined open drains</t>
  </si>
  <si>
    <t xml:space="preserve"> m²</t>
  </si>
  <si>
    <t>Cutting bituminous and pavement layers for concrete channelling or concrete lined drains</t>
  </si>
  <si>
    <t>Sealed joints in concrete linings of open drains with Polysulphide sealants</t>
  </si>
  <si>
    <t>Culverts</t>
  </si>
  <si>
    <t>Allow for supply and installation of 1200mm boxed culvert on truck crossing, laying and jointing in culvert including concrete bases</t>
  </si>
  <si>
    <t>Allow for construction of head walls in 200mm thick concrete C25</t>
  </si>
  <si>
    <t>BILL NO. 4</t>
  </si>
  <si>
    <t>GENERAL WORKS</t>
  </si>
  <si>
    <t>4.1</t>
  </si>
  <si>
    <t>General site leveling and cleaning for handover</t>
  </si>
  <si>
    <t>Item</t>
  </si>
  <si>
    <t>BILL SUMMARY</t>
  </si>
  <si>
    <t>BILL No. 1  PRELIMINARY AND GENERAL ITEMS</t>
  </si>
  <si>
    <t>BILL No. 2  WALKWAY</t>
  </si>
  <si>
    <t xml:space="preserve">BILL No. 3  OPEN DRAINAGE </t>
  </si>
  <si>
    <t>BILL No. 4  GENERAL WORKS</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</si>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</sst>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 #,##0.00_-;_-* &quot;-&quot;??_-;_-@_-"/>
    <numFmt numFmtId="165" formatCode="_(* #,##0.00_);_(* (#,##0.00);_(* &quot;-&quot;??_);_(@_)"/>
    <numFmt numFmtId="166" formatCode="0.0"/>
  </numFmts>
  <fonts count="8" x14ac:knownFonts="1">
    <font>
      <color theme="1"/>
      <family val="2"/>
      <scheme val="minor"/>
      <sz val="11"/>
      <name val="Calibri"/>
    </font>
    <font>
      <b/>
      <color theme="1"/>
      <family val="2"/>
      <sz val="12"/>
      <name val="Century Gothic"/>
    </font>
    <font>
      <b/>
      <family val="2"/>
      <sz val="11"/>
      <name val="Century Gothic"/>
    </font>
    <font>
      <family val="2"/>
      <sz val="11"/>
      <name val="Century Gothic"/>
    </font>
    <font>
      <b/>
      <i/>
      <u/>
      <family val="2"/>
      <sz val="11"/>
      <name val="Century Gothic"/>
    </font>
    <font>
      <b/>
      <u/>
      <family val="2"/>
      <sz val="11"/>
      <name val="Century Gothic"/>
    </font>
    <font>
      <i/>
      <family val="2"/>
      <sz val="11"/>
      <name val="Century Gothic"/>
    </font>
    <font>
      <i/>
      <u/>
      <family val="2"/>
      <sz val="11"/>
      <name val="Century Gothic"/>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2">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0" fillId="0" borderId="6" xfId="0" applyBorder="1"/>
    <xf numFmtId="0" fontId="0" fillId="0" borderId="7" xfId="0" applyBorder="1"/>
    <xf numFmtId="0" fontId="0" fillId="0" borderId="8" xfId="0" applyBorder="1"/>
    <xf numFmtId="0" fontId="2" fillId="0" borderId="9" xfId="0" applyFont="1" applyBorder="1" applyAlignment="1">
      <alignment horizontal="center" vertical="center" wrapText="1"/>
    </xf>
    <xf numFmtId="0" fontId="2" fillId="0" borderId="9" xfId="0" applyFont="1" applyBorder="1" applyAlignment="1">
      <alignment vertical="center" wrapText="1"/>
    </xf>
    <xf numFmtId="164" fontId="2" fillId="0" borderId="10" xfId="0" applyNumberFormat="1" applyFont="1" applyBorder="1" applyAlignment="1">
      <alignment horizontal="center" vertical="center"/>
    </xf>
    <xf numFmtId="164" fontId="2" fillId="0" borderId="9" xfId="0" applyNumberFormat="1" applyFont="1" applyBorder="1" applyAlignment="1">
      <alignment horizontal="center" vertical="center" wrapText="1"/>
    </xf>
    <xf numFmtId="164" fontId="2" fillId="0" borderId="10" xfId="0" applyNumberFormat="1" applyFont="1" applyBorder="1" applyAlignment="1">
      <alignment horizontal="right" vertical="center"/>
    </xf>
    <xf numFmtId="164" fontId="2" fillId="0" borderId="9" xfId="0" applyNumberFormat="1" applyFont="1" applyBorder="1" applyAlignment="1">
      <alignment horizontal="right" vertical="center"/>
    </xf>
    <xf numFmtId="0" fontId="2" fillId="0" borderId="11" xfId="0" applyFont="1" applyBorder="1" applyAlignment="1">
      <alignment horizontal="center" vertical="center"/>
    </xf>
    <xf numFmtId="0" fontId="2" fillId="0" borderId="11" xfId="0" applyFont="1" applyBorder="1" applyAlignment="1">
      <alignment horizontal="left"/>
    </xf>
    <xf numFmtId="2" fontId="3" fillId="0" borderId="0" xfId="0" applyNumberFormat="1" applyFont="1" applyAlignment="1">
      <alignment horizontal="center" vertical="center"/>
    </xf>
    <xf numFmtId="2" fontId="2" fillId="0" borderId="11"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11" xfId="0" applyNumberFormat="1" applyFont="1" applyBorder="1" applyAlignment="1">
      <alignment horizontal="right" vertical="top"/>
    </xf>
    <xf numFmtId="166" fontId="3" fillId="0" borderId="11" xfId="0" applyNumberFormat="1" applyFont="1" applyBorder="1" applyAlignment="1">
      <alignment horizontal="center" vertical="center"/>
    </xf>
    <xf numFmtId="0" fontId="3" fillId="0" borderId="0" xfId="0" applyFont="1" applyAlignment="1">
      <alignment horizontal="center" vertical="center"/>
    </xf>
    <xf numFmtId="2" fontId="3" fillId="0" borderId="11" xfId="0" applyNumberFormat="1" applyFont="1" applyBorder="1" applyAlignment="1">
      <alignment horizontal="center" vertical="center"/>
    </xf>
    <xf numFmtId="165" fontId="3" fillId="0" borderId="0" xfId="0" applyNumberFormat="1" applyFont="1" applyAlignment="1">
      <alignment horizontal="center" vertical="center"/>
    </xf>
    <xf numFmtId="0" fontId="4" fillId="0" borderId="11" xfId="0" applyFont="1" applyBorder="1" applyAlignment="1">
      <alignment horizontal="left" wrapText="1"/>
    </xf>
    <xf numFmtId="0" fontId="5" fillId="0" borderId="11" xfId="0" applyFont="1" applyBorder="1" applyAlignment="1">
      <alignment horizontal="left" wrapText="1"/>
    </xf>
    <xf numFmtId="0" fontId="6" fillId="0" borderId="11" xfId="0" applyFont="1" applyBorder="1" applyAlignment="1">
      <alignment horizontal="left" wrapText="1"/>
    </xf>
    <xf numFmtId="0" fontId="4" fillId="0" borderId="11" xfId="0" applyFont="1" applyBorder="1" applyAlignment="1">
      <alignment horizontal="left"/>
    </xf>
    <xf numFmtId="0" fontId="6" fillId="0" borderId="11" xfId="0" applyFont="1" applyBorder="1" applyAlignment="1">
      <alignment horizontal="left"/>
    </xf>
    <xf numFmtId="0" fontId="0" fillId="0" borderId="0" xfId="0" applyAlignment="1">
      <alignment vertical="center"/>
    </xf>
    <xf numFmtId="0" fontId="3" fillId="0" borderId="11" xfId="0" applyFont="1" applyBorder="1" applyAlignment="1">
      <alignment horizontal="left"/>
    </xf>
    <xf numFmtId="0" fontId="3" fillId="0" borderId="11" xfId="0" applyFont="1" applyBorder="1" applyAlignment="1">
      <alignment wrapText="1"/>
    </xf>
    <xf numFmtId="0" fontId="3" fillId="0" borderId="1" xfId="0" applyFont="1" applyBorder="1" applyAlignment="1">
      <alignment horizontal="center" vertical="center"/>
    </xf>
    <xf numFmtId="0" fontId="3" fillId="0" borderId="2" xfId="0" applyFont="1" applyBorder="1" applyAlignment="1">
      <alignment wrapText="1"/>
    </xf>
    <xf numFmtId="164" fontId="3" fillId="0" borderId="2" xfId="0" applyNumberFormat="1" applyFont="1" applyBorder="1"/>
    <xf numFmtId="164" fontId="3" fillId="0" borderId="3" xfId="0" applyNumberFormat="1" applyFont="1" applyBorder="1"/>
    <xf numFmtId="0" fontId="2" fillId="0" borderId="4" xfId="0" applyFont="1" applyBorder="1" applyAlignment="1">
      <alignment horizontal="center" vertical="center"/>
    </xf>
    <xf numFmtId="0" fontId="2" fillId="0" borderId="0" xfId="0" applyFont="1" applyAlignment="1">
      <alignment horizontal="center" wrapText="1"/>
    </xf>
    <xf numFmtId="164" fontId="3" fillId="0" borderId="0" xfId="0" applyNumberFormat="1" applyFont="1"/>
    <xf numFmtId="164" fontId="3" fillId="0" borderId="5" xfId="0" applyNumberFormat="1" applyFont="1" applyBorder="1"/>
    <xf numFmtId="0" fontId="3" fillId="0" borderId="4" xfId="0" applyFont="1" applyBorder="1" applyAlignment="1">
      <alignment horizontal="center" vertical="center"/>
    </xf>
    <xf numFmtId="0" fontId="3" fillId="0" borderId="0" xfId="0" applyFont="1" applyAlignment="1">
      <alignment wrapText="1"/>
    </xf>
    <xf numFmtId="164" fontId="2" fillId="0" borderId="9" xfId="0" applyNumberFormat="1" applyFont="1" applyBorder="1" applyAlignment="1">
      <alignment horizontal="center" vertical="center"/>
    </xf>
    <xf numFmtId="164" fontId="2" fillId="0" borderId="10" xfId="0" applyNumberFormat="1" applyFont="1" applyBorder="1" applyAlignment="1">
      <alignment horizontal="center" vertical="center" wrapText="1"/>
    </xf>
    <xf numFmtId="0" fontId="3" fillId="0" borderId="11" xfId="0" applyFont="1" applyBorder="1" applyAlignment="1">
      <alignment horizontal="center" vertical="center"/>
    </xf>
    <xf numFmtId="164" fontId="3" fillId="0" borderId="11" xfId="0" applyNumberFormat="1" applyFont="1" applyBorder="1"/>
    <xf numFmtId="0" fontId="3" fillId="0" borderId="11" xfId="0" applyFont="1" applyBorder="1" applyAlignment="1">
      <alignment horizontal="left" vertical="center" wrapText="1"/>
    </xf>
    <xf numFmtId="165" fontId="3" fillId="0" borderId="11" xfId="0" applyNumberFormat="1" applyFont="1" applyBorder="1" applyAlignment="1">
      <alignment horizontal="right" vertical="center"/>
    </xf>
    <xf numFmtId="165" fontId="3" fillId="0" borderId="11" xfId="0" applyNumberFormat="1" applyFont="1" applyBorder="1" applyAlignment="1">
      <alignment horizontal="right" vertical="top"/>
    </xf>
    <xf numFmtId="0" fontId="3" fillId="0" borderId="9" xfId="0" applyFont="1" applyBorder="1" applyAlignment="1">
      <alignment horizontal="center" vertical="center"/>
    </xf>
    <xf numFmtId="0" fontId="2" fillId="0" borderId="9" xfId="0" applyFont="1" applyBorder="1" applyAlignment="1">
      <alignment horizontal="left" wrapText="1"/>
    </xf>
    <xf numFmtId="0" fontId="3" fillId="0" borderId="10" xfId="0" applyFont="1" applyBorder="1" applyAlignment="1">
      <alignment horizontal="center" vertical="center"/>
    </xf>
    <xf numFmtId="2" fontId="3" fillId="0" borderId="9" xfId="0" applyNumberFormat="1" applyFont="1" applyBorder="1" applyAlignment="1">
      <alignment horizontal="center" vertical="center"/>
    </xf>
    <xf numFmtId="165" fontId="2" fillId="0" borderId="10" xfId="0" applyNumberFormat="1" applyFont="1" applyBorder="1" applyAlignment="1">
      <alignment horizontal="center" vertical="center"/>
    </xf>
    <xf numFmtId="165" fontId="2" fillId="0" borderId="9" xfId="0" applyNumberFormat="1" applyFont="1" applyBorder="1" applyAlignment="1">
      <alignment horizontal="left" vertical="center"/>
    </xf>
    <xf numFmtId="0" fontId="7" fillId="0" borderId="11" xfId="0" applyFont="1" applyBorder="1" applyAlignment="1">
      <alignment wrapText="1"/>
    </xf>
    <xf numFmtId="164" fontId="3" fillId="0" borderId="11" xfId="0" applyNumberFormat="1" applyFont="1" applyBorder="1" applyAlignment="1">
      <alignment vertical="center"/>
    </xf>
    <xf numFmtId="164" fontId="3" fillId="0" borderId="0" xfId="0" applyNumberFormat="1" applyFont="1" applyAlignment="1">
      <alignment vertical="center"/>
    </xf>
    <xf numFmtId="0" fontId="3" fillId="0" borderId="11" xfId="0" applyFont="1" applyBorder="1" applyAlignment="1">
      <alignment vertical="center" wrapText="1"/>
    </xf>
    <xf numFmtId="0" fontId="7" fillId="0" borderId="11" xfId="0" applyFont="1" applyBorder="1" applyAlignment="1">
      <alignment vertical="center" wrapText="1"/>
    </xf>
    <xf numFmtId="164" fontId="3" fillId="0" borderId="9" xfId="0" applyNumberFormat="1" applyFont="1" applyBorder="1" applyAlignment="1">
      <alignment vertical="center"/>
    </xf>
    <xf numFmtId="164" fontId="3" fillId="0" borderId="10" xfId="0" applyNumberFormat="1" applyFont="1" applyBorder="1" applyAlignment="1">
      <alignment vertical="center"/>
    </xf>
    <xf numFmtId="164" fontId="2" fillId="0" borderId="9" xfId="0" applyNumberFormat="1" applyFont="1" applyBorder="1" applyAlignment="1">
      <alignment vertical="center"/>
    </xf>
    <xf numFmtId="0" fontId="3" fillId="0" borderId="12" xfId="0" applyFont="1" applyBorder="1" applyAlignment="1">
      <alignment horizontal="center" vertical="center"/>
    </xf>
    <xf numFmtId="0" fontId="3" fillId="0" borderId="12" xfId="0" applyFont="1" applyBorder="1" applyAlignment="1">
      <alignment wrapText="1"/>
    </xf>
    <xf numFmtId="164" fontId="3" fillId="0" borderId="12" xfId="0" applyNumberFormat="1" applyFont="1" applyBorder="1"/>
    <xf numFmtId="0" fontId="3" fillId="0" borderId="11" xfId="0" applyFont="1" applyBorder="1" applyAlignment="1">
      <alignment horizontal="left" wrapText="1"/>
    </xf>
    <xf numFmtId="0" fontId="7" fillId="0" borderId="11" xfId="0" applyFont="1" applyBorder="1" applyAlignment="1">
      <alignment horizontal="left" wrapText="1"/>
    </xf>
    <xf numFmtId="0" fontId="3" fillId="0" borderId="13" xfId="0" applyFont="1" applyBorder="1" applyAlignment="1">
      <alignment horizontal="center" vertical="center"/>
    </xf>
    <xf numFmtId="0" fontId="2" fillId="0" borderId="13" xfId="0" applyFont="1" applyBorder="1" applyAlignment="1">
      <alignment wrapText="1"/>
    </xf>
    <xf numFmtId="164" fontId="3" fillId="0" borderId="13" xfId="0" applyNumberFormat="1" applyFont="1" applyBorder="1"/>
    <xf numFmtId="164" fontId="2" fillId="0" borderId="13" xfId="0" applyNumberFormat="1" applyFont="1" applyBorder="1"/>
    <xf numFmtId="0" fontId="2" fillId="0" borderId="13" xfId="0" applyFont="1" applyBorder="1" applyAlignment="1">
      <alignment vertical="center" wrapText="1"/>
    </xf>
    <xf numFmtId="164" fontId="3" fillId="0" borderId="13" xfId="0" applyNumberFormat="1" applyFont="1" applyBorder="1" applyAlignment="1">
      <alignment vertical="center"/>
    </xf>
    <xf numFmtId="164" fontId="2" fillId="0" borderId="13" xfId="0" applyNumberFormat="1" applyFont="1" applyBorder="1" applyAlignment="1">
      <alignment vertical="center"/>
    </xf>
    <xf numFmtId="164" fontId="0" fillId="0" borderId="0" xfId="0" applyNumberFormat="1" applyAlignment="1">
      <alignment vertical="center"/>
    </xf>
    <xf numFmtId="164" fontId="2" fillId="0" borderId="5" xfId="0" applyNumberFormat="1" applyFont="1" applyBorder="1"/>
    <xf numFmtId="0" fontId="3" fillId="0" borderId="6" xfId="0" applyFont="1" applyBorder="1" applyAlignment="1">
      <alignment horizontal="center" vertical="center"/>
    </xf>
    <xf numFmtId="0" fontId="2" fillId="0" borderId="7" xfId="0" applyFont="1" applyBorder="1" applyAlignment="1">
      <alignment wrapText="1"/>
    </xf>
    <xf numFmtId="164" fontId="3" fillId="0" borderId="7" xfId="0" applyNumberFormat="1" applyFont="1" applyBorder="1"/>
    <xf numFmtId="164" fontId="3" fillId="0" borderId="8" xfId="0" applyNumberFormat="1" applyFont="1" applyBorder="1"/>
    <xf numFmtId="0" fontId="2" fillId="0" borderId="11" xfId="0" applyFont="1" applyBorder="1" applyAlignment="1">
      <alignment horizontal="center" vertical="center" wrapText="1"/>
    </xf>
    <xf numFmtId="0" fontId="2" fillId="0" borderId="11" xfId="0" applyFont="1" applyBorder="1" applyAlignment="1">
      <alignment vertical="center" wrapText="1"/>
    </xf>
    <xf numFmtId="164" fontId="2" fillId="0" borderId="11" xfId="0" applyNumberFormat="1" applyFont="1" applyBorder="1" applyAlignment="1">
      <alignment horizontal="center" vertical="center"/>
    </xf>
    <xf numFmtId="164" fontId="2" fillId="0" borderId="0" xfId="0" applyNumberFormat="1" applyFont="1" applyAlignment="1">
      <alignment horizontal="center" vertical="center" wrapText="1"/>
    </xf>
    <xf numFmtId="164" fontId="2" fillId="0" borderId="11" xfId="0" applyNumberFormat="1" applyFont="1" applyBorder="1" applyAlignment="1">
      <alignment horizontal="right" vertical="center"/>
    </xf>
    <xf numFmtId="0" fontId="2" fillId="0" borderId="9" xfId="0" applyFont="1" applyBorder="1" applyAlignment="1">
      <alignment wrapText="1"/>
    </xf>
    <xf numFmtId="164" fontId="3" fillId="0" borderId="9" xfId="0" applyNumberFormat="1" applyFont="1" applyBorder="1"/>
    <xf numFmtId="164" fontId="3" fillId="0" borderId="10" xfId="0" applyNumberFormat="1" applyFont="1" applyBorder="1"/>
    <xf numFmtId="164" fontId="2" fillId="0" borderId="9"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1"/>
  <sheetViews>
    <sheetView workbookViewId="0" zoomScale="100" zoomScaleNormal="100">
      <selection activeCell="I113" sqref="I113"/>
    </sheetView>
  </sheetViews>
  <sheetFormatPr defaultRowHeight="15" outlineLevelRow="0" outlineLevelCol="0" x14ac:dyDescent="0.25"/>
  <cols>
    <col min="1" max="1" width="11.140625" customWidth="1"/>
    <col min="2" max="2" width="53.28515625" customWidth="1"/>
    <col min="4" max="4" width="10.42578125" customWidth="1"/>
    <col min="5" max="5" width="12.7109375" customWidth="1"/>
    <col min="6" max="6" width="15" customWidth="1"/>
    <col min="9" max="9" width="9.42578125" customWidth="1"/>
  </cols>
  <sheetData>
    <row r="1" spans="1:6" x14ac:dyDescent="0.25">
      <c r="A1" s="1"/>
      <c r="B1" s="2"/>
      <c r="C1" s="2"/>
      <c r="D1" s="2"/>
      <c r="E1" s="2"/>
      <c r="F1" s="3"/>
    </row>
    <row r="2" ht="15.75" customHeight="1" spans="1:6" x14ac:dyDescent="0.25">
      <c r="A2" s="4" t="s">
        <v>0</v>
      </c>
      <c r="B2" s="5"/>
      <c r="C2" s="5"/>
      <c r="D2" s="5"/>
      <c r="E2" s="5"/>
      <c r="F2" s="6"/>
    </row>
    <row r="3" ht="15.75" customHeight="1" spans="1:6" x14ac:dyDescent="0.25">
      <c r="A3" s="4" t="s">
        <v>1</v>
      </c>
      <c r="B3" s="5"/>
      <c r="C3" s="5"/>
      <c r="D3" s="5"/>
      <c r="E3" s="5"/>
      <c r="F3" s="6"/>
    </row>
    <row r="4" ht="15.75" customHeight="1" spans="1:6" x14ac:dyDescent="0.25">
      <c r="A4" s="4" t="s">
        <v>2</v>
      </c>
      <c r="B4" s="5"/>
      <c r="C4" s="5"/>
      <c r="D4" s="5"/>
      <c r="E4" s="5"/>
      <c r="F4" s="6"/>
    </row>
    <row r="5" ht="15.75" customHeight="1" spans="1:6" x14ac:dyDescent="0.25">
      <c r="A5" s="4" t="s">
        <v>3</v>
      </c>
      <c r="B5" s="5"/>
      <c r="C5" s="5"/>
      <c r="D5" s="5"/>
      <c r="E5" s="5"/>
      <c r="F5" s="6"/>
    </row>
    <row r="6" ht="15.75" customHeight="1" spans="1:6" x14ac:dyDescent="0.25">
      <c r="A6" s="4" t="s">
        <v>4</v>
      </c>
      <c r="B6" s="5"/>
      <c r="C6" s="5"/>
      <c r="D6" s="5"/>
      <c r="E6" s="5"/>
      <c r="F6" s="6"/>
    </row>
    <row r="7" ht="15.75" customHeight="1" spans="1:6" x14ac:dyDescent="0.25">
      <c r="A7" s="4" t="s">
        <v>5</v>
      </c>
      <c r="B7" s="5"/>
      <c r="C7" s="5"/>
      <c r="D7" s="5"/>
      <c r="E7" s="5"/>
      <c r="F7" s="6"/>
    </row>
    <row r="8" spans="1:6" x14ac:dyDescent="0.25">
      <c r="A8" s="7"/>
      <c r="B8" s="8"/>
      <c r="C8" s="8"/>
      <c r="D8" s="8"/>
      <c r="E8" s="8"/>
      <c r="F8" s="9"/>
    </row>
    <row r="9" spans="1:6" x14ac:dyDescent="0.25">
      <c r="A9" s="10" t="s">
        <v>6</v>
      </c>
      <c r="B9" s="11" t="s">
        <v>7</v>
      </c>
      <c r="C9" s="12" t="s">
        <v>8</v>
      </c>
      <c r="D9" s="13" t="s">
        <v>9</v>
      </c>
      <c r="E9" s="14" t="s">
        <v>10</v>
      </c>
      <c r="F9" s="15" t="s">
        <v>11</v>
      </c>
    </row>
    <row r="10" ht="16.5" customHeight="1" spans="1:6" x14ac:dyDescent="0.25">
      <c r="A10" s="16"/>
      <c r="B10" s="17"/>
      <c r="C10" s="18"/>
      <c r="D10" s="19"/>
      <c r="E10" s="20"/>
      <c r="F10" s="21"/>
    </row>
    <row r="11" ht="16.5" customHeight="1" spans="1:6" x14ac:dyDescent="0.25">
      <c r="A11" s="22"/>
      <c r="B11" s="17" t="s">
        <v>12</v>
      </c>
      <c r="C11" s="23"/>
      <c r="D11" s="24"/>
      <c r="E11" s="25"/>
      <c r="F11" s="21"/>
    </row>
    <row r="12" ht="16.5" customHeight="1" spans="1:6" x14ac:dyDescent="0.25">
      <c r="A12" s="22"/>
      <c r="B12" s="17"/>
      <c r="C12" s="23"/>
      <c r="D12" s="24"/>
      <c r="E12" s="25"/>
      <c r="F12" s="21"/>
    </row>
    <row r="13" ht="48.6" customHeight="1" spans="1:6" x14ac:dyDescent="0.25">
      <c r="A13" s="22"/>
      <c r="B13" s="26" t="s">
        <v>13</v>
      </c>
      <c r="C13" s="23"/>
      <c r="D13" s="24"/>
      <c r="E13" s="25"/>
      <c r="F13" s="21"/>
    </row>
    <row r="14" ht="16.5" customHeight="1" spans="1:6" x14ac:dyDescent="0.25">
      <c r="A14" s="22"/>
      <c r="B14" s="27"/>
      <c r="C14" s="23"/>
      <c r="D14" s="24"/>
      <c r="E14" s="25"/>
      <c r="F14" s="21"/>
    </row>
    <row r="15" ht="57.75" customHeight="1" spans="1:6" x14ac:dyDescent="0.25">
      <c r="A15" s="22" t="s">
        <v>14</v>
      </c>
      <c r="B15" s="28" t="s">
        <v>15</v>
      </c>
      <c r="C15" s="23"/>
      <c r="D15" s="24"/>
      <c r="E15" s="25"/>
      <c r="F15" s="21"/>
    </row>
    <row r="16" ht="16.5" customHeight="1" spans="1:6" x14ac:dyDescent="0.25">
      <c r="A16" s="22"/>
      <c r="B16" s="29"/>
      <c r="C16" s="23"/>
      <c r="D16" s="24"/>
      <c r="E16" s="25"/>
      <c r="F16" s="21"/>
    </row>
    <row r="17" ht="57.75" customHeight="1" spans="1:6" x14ac:dyDescent="0.25">
      <c r="A17" s="22" t="s">
        <v>16</v>
      </c>
      <c r="B17" s="28" t="s">
        <v>17</v>
      </c>
      <c r="C17" s="23"/>
      <c r="D17" s="24"/>
      <c r="E17" s="25"/>
      <c r="F17" s="21"/>
    </row>
    <row r="18" ht="16.5" customHeight="1" spans="1:6" x14ac:dyDescent="0.25">
      <c r="A18" s="22"/>
      <c r="B18" s="30"/>
      <c r="C18" s="23"/>
      <c r="D18" s="24"/>
      <c r="E18" s="25"/>
      <c r="F18" s="21"/>
    </row>
    <row r="19" ht="28.5" customHeight="1" spans="1:6" s="31" customFormat="1" x14ac:dyDescent="0.25">
      <c r="A19" s="22" t="s">
        <v>18</v>
      </c>
      <c r="B19" s="28" t="s">
        <v>19</v>
      </c>
      <c r="C19" s="23"/>
      <c r="D19" s="24"/>
      <c r="E19" s="25"/>
      <c r="F19" s="21"/>
    </row>
    <row r="20" ht="16.5" customHeight="1" spans="1:6" s="31" customFormat="1" x14ac:dyDescent="0.25">
      <c r="A20" s="22"/>
      <c r="B20" s="30"/>
      <c r="C20" s="23"/>
      <c r="D20" s="24"/>
      <c r="E20" s="25"/>
      <c r="F20" s="21"/>
    </row>
    <row r="21" ht="42.75" customHeight="1" spans="1:6" s="31" customFormat="1" x14ac:dyDescent="0.25">
      <c r="A21" s="22" t="s">
        <v>20</v>
      </c>
      <c r="B21" s="28" t="s">
        <v>21</v>
      </c>
      <c r="C21" s="23"/>
      <c r="D21" s="24"/>
      <c r="E21" s="25"/>
      <c r="F21" s="21"/>
    </row>
    <row r="22" ht="16.5" customHeight="1" spans="1:6" s="31" customFormat="1" x14ac:dyDescent="0.25">
      <c r="A22" s="22"/>
      <c r="B22" s="30"/>
      <c r="C22" s="23"/>
      <c r="D22" s="24"/>
      <c r="E22" s="25"/>
      <c r="F22" s="21"/>
    </row>
    <row r="23" ht="57" customHeight="1" spans="1:6" s="31" customFormat="1" x14ac:dyDescent="0.25">
      <c r="A23" s="22" t="s">
        <v>22</v>
      </c>
      <c r="B23" s="28" t="s">
        <v>23</v>
      </c>
      <c r="C23" s="23"/>
      <c r="D23" s="24"/>
      <c r="E23" s="25"/>
      <c r="F23" s="21"/>
    </row>
    <row r="24" ht="16.5" customHeight="1" spans="1:6" s="31" customFormat="1" x14ac:dyDescent="0.25">
      <c r="A24" s="22"/>
      <c r="B24" s="30"/>
      <c r="C24" s="23"/>
      <c r="D24" s="24"/>
      <c r="E24" s="25"/>
      <c r="F24" s="21"/>
    </row>
    <row r="25" ht="42.75" customHeight="1" spans="1:6" s="31" customFormat="1" x14ac:dyDescent="0.25">
      <c r="A25" s="22" t="s">
        <v>24</v>
      </c>
      <c r="B25" s="28" t="s">
        <v>25</v>
      </c>
      <c r="C25" s="23"/>
      <c r="D25" s="24"/>
      <c r="E25" s="25"/>
      <c r="F25" s="21"/>
    </row>
    <row r="26" ht="16.5" customHeight="1" spans="1:6" s="31" customFormat="1" x14ac:dyDescent="0.25">
      <c r="A26" s="22"/>
      <c r="B26" s="30"/>
      <c r="C26" s="23"/>
      <c r="D26" s="24"/>
      <c r="E26" s="25"/>
      <c r="F26" s="21"/>
    </row>
    <row r="27" ht="42.75" customHeight="1" spans="1:6" s="31" customFormat="1" x14ac:dyDescent="0.25">
      <c r="A27" s="22" t="s">
        <v>26</v>
      </c>
      <c r="B27" s="28" t="s">
        <v>27</v>
      </c>
      <c r="C27" s="23"/>
      <c r="D27" s="24"/>
      <c r="E27" s="25"/>
      <c r="F27" s="21"/>
    </row>
    <row r="28" ht="16.5" customHeight="1" spans="1:6" s="31" customFormat="1" x14ac:dyDescent="0.25">
      <c r="A28" s="22"/>
      <c r="B28" s="30"/>
      <c r="C28" s="23"/>
      <c r="D28" s="24"/>
      <c r="E28" s="25"/>
      <c r="F28" s="21"/>
    </row>
    <row r="29" ht="57" customHeight="1" spans="1:6" s="31" customFormat="1" x14ac:dyDescent="0.25">
      <c r="A29" s="22" t="s">
        <v>28</v>
      </c>
      <c r="B29" s="28" t="s">
        <v>29</v>
      </c>
      <c r="C29" s="23"/>
      <c r="D29" s="24"/>
      <c r="E29" s="25"/>
      <c r="F29" s="21"/>
    </row>
    <row r="30" ht="16.5" customHeight="1" spans="1:6" s="31" customFormat="1" x14ac:dyDescent="0.25">
      <c r="A30" s="22"/>
      <c r="B30" s="30"/>
      <c r="C30" s="23"/>
      <c r="D30" s="24"/>
      <c r="E30" s="25"/>
      <c r="F30" s="21"/>
    </row>
    <row r="31" ht="28.5" customHeight="1" spans="1:6" s="31" customFormat="1" x14ac:dyDescent="0.25">
      <c r="A31" s="22" t="s">
        <v>30</v>
      </c>
      <c r="B31" s="28" t="s">
        <v>31</v>
      </c>
      <c r="C31" s="23"/>
      <c r="D31" s="24"/>
      <c r="E31" s="25"/>
      <c r="F31" s="21"/>
    </row>
    <row r="32" ht="16.5" customHeight="1" spans="1:6" s="31" customFormat="1" x14ac:dyDescent="0.25">
      <c r="A32" s="22"/>
      <c r="B32" s="30"/>
      <c r="C32" s="23"/>
      <c r="D32" s="24"/>
      <c r="E32" s="25"/>
      <c r="F32" s="21"/>
    </row>
    <row r="33" ht="28.5" customHeight="1" spans="1:6" s="31" customFormat="1" x14ac:dyDescent="0.25">
      <c r="A33" s="22" t="s">
        <v>32</v>
      </c>
      <c r="B33" s="28" t="s">
        <v>33</v>
      </c>
      <c r="C33" s="23"/>
      <c r="D33" s="24"/>
      <c r="E33" s="25"/>
      <c r="F33" s="21"/>
    </row>
    <row r="34" ht="16.5" customHeight="1" spans="1:6" s="31" customFormat="1" x14ac:dyDescent="0.25">
      <c r="A34" s="22"/>
      <c r="B34" s="28"/>
      <c r="C34" s="23"/>
      <c r="D34" s="24"/>
      <c r="E34" s="25"/>
      <c r="F34" s="21"/>
    </row>
    <row r="35" ht="42.75" customHeight="1" spans="1:6" s="31" customFormat="1" x14ac:dyDescent="0.25">
      <c r="A35" s="22" t="s">
        <v>34</v>
      </c>
      <c r="B35" s="28" t="s">
        <v>35</v>
      </c>
      <c r="C35" s="23"/>
      <c r="D35" s="24"/>
      <c r="E35" s="25"/>
      <c r="F35" s="21"/>
    </row>
    <row r="36" ht="16.5" customHeight="1" spans="1:6" s="31" customFormat="1" x14ac:dyDescent="0.25">
      <c r="A36" s="22"/>
      <c r="B36" s="32"/>
      <c r="C36" s="23"/>
      <c r="D36" s="24"/>
      <c r="E36" s="25"/>
      <c r="F36" s="21"/>
    </row>
    <row r="37" ht="28.5" customHeight="1" spans="1:6" s="31" customFormat="1" x14ac:dyDescent="0.25">
      <c r="A37" s="22" t="s">
        <v>36</v>
      </c>
      <c r="B37" s="28" t="s">
        <v>37</v>
      </c>
      <c r="C37" s="23"/>
      <c r="D37" s="24"/>
      <c r="E37" s="25"/>
      <c r="F37" s="21"/>
    </row>
    <row r="38" ht="16.5" customHeight="1" spans="1:6" s="31" customFormat="1" x14ac:dyDescent="0.25">
      <c r="A38" s="22"/>
      <c r="B38" s="30"/>
      <c r="C38" s="23"/>
      <c r="D38" s="24"/>
      <c r="E38" s="25"/>
      <c r="F38" s="21"/>
    </row>
    <row r="39" ht="33" customHeight="1" spans="1:6" s="31" customFormat="1" x14ac:dyDescent="0.25">
      <c r="A39" s="22" t="s">
        <v>38</v>
      </c>
      <c r="B39" s="33" t="s">
        <v>39</v>
      </c>
      <c r="C39" s="23"/>
      <c r="D39" s="24"/>
      <c r="E39" s="25"/>
      <c r="F39" s="21"/>
    </row>
    <row r="40" ht="16.5" customHeight="1" spans="1:6" s="31" customFormat="1" x14ac:dyDescent="0.25">
      <c r="A40" s="22"/>
      <c r="B40" s="30"/>
      <c r="C40" s="23"/>
      <c r="D40" s="24"/>
      <c r="E40" s="25"/>
      <c r="F40" s="21"/>
    </row>
    <row r="41" ht="57" customHeight="1" spans="1:6" s="31" customFormat="1" x14ac:dyDescent="0.25">
      <c r="A41" s="22" t="s">
        <v>40</v>
      </c>
      <c r="B41" s="28" t="s">
        <v>41</v>
      </c>
      <c r="C41" s="23"/>
      <c r="D41" s="24"/>
      <c r="E41" s="25"/>
      <c r="F41" s="21"/>
    </row>
    <row r="42" ht="16.5" customHeight="1" spans="1:6" s="31" customFormat="1" x14ac:dyDescent="0.25">
      <c r="A42" s="22"/>
      <c r="B42" s="28"/>
      <c r="C42" s="23"/>
      <c r="D42" s="24"/>
      <c r="E42" s="25"/>
      <c r="F42" s="21"/>
    </row>
    <row r="43" ht="16.5" customHeight="1" spans="1:6" s="31" customFormat="1" x14ac:dyDescent="0.25">
      <c r="A43" s="34"/>
      <c r="B43" s="35"/>
      <c r="C43" s="36"/>
      <c r="D43" s="36"/>
      <c r="E43" s="36"/>
      <c r="F43" s="37"/>
    </row>
    <row r="44" ht="16.5" customHeight="1" spans="1:6" s="31" customFormat="1" x14ac:dyDescent="0.25">
      <c r="A44" s="38" t="s">
        <v>42</v>
      </c>
      <c r="B44" s="39" t="s">
        <v>43</v>
      </c>
      <c r="C44" s="39"/>
      <c r="D44" s="39"/>
      <c r="E44" s="40"/>
      <c r="F44" s="41"/>
    </row>
    <row r="45" ht="16.5" customHeight="1" spans="1:6" s="31" customFormat="1" x14ac:dyDescent="0.25">
      <c r="A45" s="42"/>
      <c r="B45" s="43"/>
      <c r="C45" s="40"/>
      <c r="D45" s="40"/>
      <c r="E45" s="40"/>
      <c r="F45" s="41"/>
    </row>
    <row r="46" spans="1:6" s="31" customFormat="1" x14ac:dyDescent="0.25">
      <c r="A46" s="10" t="s">
        <v>6</v>
      </c>
      <c r="B46" s="11" t="s">
        <v>7</v>
      </c>
      <c r="C46" s="44" t="s">
        <v>8</v>
      </c>
      <c r="D46" s="45" t="s">
        <v>9</v>
      </c>
      <c r="E46" s="15" t="s">
        <v>10</v>
      </c>
      <c r="F46" s="15" t="s">
        <v>11</v>
      </c>
    </row>
    <row r="47" ht="16.5" customHeight="1" spans="1:6" s="31" customFormat="1" x14ac:dyDescent="0.25">
      <c r="A47" s="46"/>
      <c r="B47" s="33"/>
      <c r="C47" s="47"/>
      <c r="D47" s="40"/>
      <c r="E47" s="47"/>
      <c r="F47" s="47"/>
    </row>
    <row r="48" ht="82.5" customHeight="1" spans="1:6" s="31" customFormat="1" x14ac:dyDescent="0.25">
      <c r="A48" s="22" t="s">
        <v>44</v>
      </c>
      <c r="B48" s="48" t="s">
        <v>45</v>
      </c>
      <c r="C48" s="23" t="s">
        <v>46</v>
      </c>
      <c r="D48" s="24"/>
      <c r="E48" s="25"/>
      <c r="F48" s="49">
        <f>D48*E48</f>
      </c>
    </row>
    <row r="49" ht="16.5" customHeight="1" spans="1:6" s="31" customFormat="1" x14ac:dyDescent="0.25">
      <c r="A49" s="22"/>
      <c r="B49" s="32"/>
      <c r="C49" s="23"/>
      <c r="D49" s="24"/>
      <c r="E49" s="25"/>
      <c r="F49" s="50"/>
    </row>
    <row r="50" ht="82.5" customHeight="1" spans="1:6" s="31" customFormat="1" x14ac:dyDescent="0.25">
      <c r="A50" s="22" t="s">
        <v>47</v>
      </c>
      <c r="B50" s="48" t="s">
        <v>48</v>
      </c>
      <c r="C50" s="23" t="s">
        <v>46</v>
      </c>
      <c r="D50" s="24"/>
      <c r="E50" s="25"/>
      <c r="F50" s="49">
        <f>D50*E50</f>
      </c>
    </row>
    <row r="51" ht="16.5" customHeight="1" spans="1:6" s="31" customFormat="1" x14ac:dyDescent="0.25">
      <c r="A51" s="22"/>
      <c r="B51" s="32"/>
      <c r="C51" s="23"/>
      <c r="D51" s="24"/>
      <c r="E51" s="25"/>
      <c r="F51" s="21"/>
    </row>
    <row r="52" ht="28.5" customHeight="1" spans="1:6" s="31" customFormat="1" x14ac:dyDescent="0.25">
      <c r="A52" s="51"/>
      <c r="B52" s="52" t="s">
        <v>49</v>
      </c>
      <c r="C52" s="53"/>
      <c r="D52" s="54"/>
      <c r="E52" s="55" t="s">
        <v>50</v>
      </c>
      <c r="F52" s="56">
        <f>SUM(F48:F51)</f>
        <v>77500</v>
      </c>
    </row>
    <row r="53" ht="16.5" customHeight="1" spans="1:6" x14ac:dyDescent="0.25">
      <c r="A53" s="34"/>
      <c r="B53" s="35"/>
      <c r="C53" s="36"/>
      <c r="D53" s="36"/>
      <c r="E53" s="36"/>
      <c r="F53" s="37"/>
    </row>
    <row r="54" ht="16.5" customHeight="1" spans="1:6" x14ac:dyDescent="0.25">
      <c r="A54" s="38" t="s">
        <v>51</v>
      </c>
      <c r="B54" s="39" t="s">
        <v>52</v>
      </c>
      <c r="C54" s="39"/>
      <c r="D54" s="39"/>
      <c r="E54" s="40"/>
      <c r="F54" s="41"/>
    </row>
    <row r="55" ht="16.5" customHeight="1" spans="1:6" x14ac:dyDescent="0.25">
      <c r="A55" s="42"/>
      <c r="B55" s="43"/>
      <c r="C55" s="40"/>
      <c r="D55" s="40"/>
      <c r="E55" s="40"/>
      <c r="F55" s="41"/>
    </row>
    <row r="56" spans="1:6" x14ac:dyDescent="0.25">
      <c r="A56" s="10" t="s">
        <v>6</v>
      </c>
      <c r="B56" s="11" t="s">
        <v>7</v>
      </c>
      <c r="C56" s="44" t="s">
        <v>8</v>
      </c>
      <c r="D56" s="45" t="s">
        <v>9</v>
      </c>
      <c r="E56" s="15" t="s">
        <v>10</v>
      </c>
      <c r="F56" s="15" t="s">
        <v>11</v>
      </c>
    </row>
    <row r="57" ht="16.5" customHeight="1" spans="1:6" x14ac:dyDescent="0.25">
      <c r="A57" s="46"/>
      <c r="B57" s="33"/>
      <c r="C57" s="47"/>
      <c r="D57" s="40"/>
      <c r="E57" s="47"/>
      <c r="F57" s="47"/>
    </row>
    <row r="58" ht="16.5" customHeight="1" spans="1:6" x14ac:dyDescent="0.25">
      <c r="A58" s="46"/>
      <c r="B58" s="57" t="s">
        <v>53</v>
      </c>
      <c r="C58" s="47"/>
      <c r="D58" s="40"/>
      <c r="E58" s="47"/>
      <c r="F58" s="47"/>
    </row>
    <row r="59" ht="16.5" customHeight="1" spans="1:6" x14ac:dyDescent="0.25">
      <c r="A59" s="46"/>
      <c r="B59" s="33"/>
      <c r="C59" s="47"/>
      <c r="D59" s="40"/>
      <c r="E59" s="47"/>
      <c r="F59" s="47"/>
    </row>
    <row r="60" ht="49.5" customHeight="1" spans="1:6" x14ac:dyDescent="0.25">
      <c r="A60" s="46">
        <v>2.1</v>
      </c>
      <c r="B60" s="33" t="s">
        <v>54</v>
      </c>
      <c r="C60" s="58" t="s">
        <v>55</v>
      </c>
      <c r="D60" s="59"/>
      <c r="E60" s="58"/>
      <c r="F60" s="58">
        <f>D60*E60</f>
      </c>
    </row>
    <row r="61" ht="16.5" customHeight="1" spans="1:6" x14ac:dyDescent="0.25">
      <c r="A61" s="46"/>
      <c r="B61" s="33"/>
      <c r="C61" s="47"/>
      <c r="D61" s="40"/>
      <c r="E61" s="47"/>
      <c r="F61" s="47"/>
    </row>
    <row r="62" ht="49.5" customHeight="1" spans="1:6" s="31" customFormat="1" x14ac:dyDescent="0.25">
      <c r="A62" s="46">
        <v>2.2</v>
      </c>
      <c r="B62" s="60" t="s">
        <v>56</v>
      </c>
      <c r="C62" s="58" t="s">
        <v>57</v>
      </c>
      <c r="D62" s="59"/>
      <c r="E62" s="58"/>
      <c r="F62" s="58">
        <f>D62*E62</f>
      </c>
    </row>
    <row r="63" ht="16.5" customHeight="1" spans="1:6" x14ac:dyDescent="0.25">
      <c r="A63" s="46"/>
      <c r="B63" s="33"/>
      <c r="C63" s="47"/>
      <c r="D63" s="40"/>
      <c r="E63" s="47"/>
      <c r="F63" s="47"/>
    </row>
    <row r="64" ht="16.5" customHeight="1" spans="1:6" x14ac:dyDescent="0.25">
      <c r="A64" s="46"/>
      <c r="B64" s="57" t="s">
        <v>58</v>
      </c>
      <c r="C64" s="47"/>
      <c r="D64" s="40"/>
      <c r="E64" s="47"/>
      <c r="F64" s="47"/>
    </row>
    <row r="65" ht="16.5" customHeight="1" spans="1:6" x14ac:dyDescent="0.25">
      <c r="A65" s="46"/>
      <c r="B65" s="33"/>
      <c r="C65" s="47"/>
      <c r="D65" s="40"/>
      <c r="E65" s="47"/>
      <c r="F65" s="47"/>
    </row>
    <row r="66" ht="66" customHeight="1" spans="1:6" x14ac:dyDescent="0.25">
      <c r="A66" s="46">
        <v>2.3</v>
      </c>
      <c r="B66" s="60" t="s">
        <v>59</v>
      </c>
      <c r="C66" s="58" t="s">
        <v>57</v>
      </c>
      <c r="D66" s="59"/>
      <c r="E66" s="58"/>
      <c r="F66" s="58">
        <f>D66*E66</f>
      </c>
    </row>
    <row r="67" ht="16.5" customHeight="1" spans="1:6" x14ac:dyDescent="0.25">
      <c r="A67" s="46"/>
      <c r="B67" s="33"/>
      <c r="C67" s="47"/>
      <c r="D67" s="40"/>
      <c r="E67" s="47"/>
      <c r="F67" s="47"/>
    </row>
    <row r="68" ht="16.5" customHeight="1" spans="1:6" x14ac:dyDescent="0.25">
      <c r="A68" s="46"/>
      <c r="B68" s="57" t="s">
        <v>60</v>
      </c>
      <c r="C68" s="47"/>
      <c r="D68" s="40"/>
      <c r="E68" s="47"/>
      <c r="F68" s="47"/>
    </row>
    <row r="69" ht="16.5" customHeight="1" spans="1:6" x14ac:dyDescent="0.25">
      <c r="A69" s="46"/>
      <c r="B69" s="33"/>
      <c r="C69" s="47"/>
      <c r="D69" s="40"/>
      <c r="E69" s="47"/>
      <c r="F69" s="47"/>
    </row>
    <row r="70" ht="33" customHeight="1" spans="1:6" s="31" customFormat="1" x14ac:dyDescent="0.25">
      <c r="A70" s="46">
        <v>2.4</v>
      </c>
      <c r="B70" s="60" t="s">
        <v>61</v>
      </c>
      <c r="C70" s="58" t="s">
        <v>57</v>
      </c>
      <c r="D70" s="59"/>
      <c r="E70" s="58"/>
      <c r="F70" s="58">
        <f>D70*E70</f>
      </c>
    </row>
    <row r="71" ht="16.5" customHeight="1" spans="1:6" x14ac:dyDescent="0.25">
      <c r="A71" s="46"/>
      <c r="B71" s="33"/>
      <c r="C71" s="47"/>
      <c r="D71" s="40"/>
      <c r="E71" s="47"/>
      <c r="F71" s="47"/>
    </row>
    <row r="72" ht="33" customHeight="1" spans="1:6" s="31" customFormat="1" x14ac:dyDescent="0.25">
      <c r="A72" s="46">
        <v>2.5</v>
      </c>
      <c r="B72" s="60" t="s">
        <v>62</v>
      </c>
      <c r="C72" s="58" t="s">
        <v>57</v>
      </c>
      <c r="D72" s="59"/>
      <c r="E72" s="58"/>
      <c r="F72" s="58">
        <f>D72*E72</f>
      </c>
    </row>
    <row r="73" ht="16.5" customHeight="1" spans="1:6" x14ac:dyDescent="0.25">
      <c r="A73" s="46"/>
      <c r="B73" s="33"/>
      <c r="C73" s="47"/>
      <c r="D73" s="40"/>
      <c r="E73" s="47"/>
      <c r="F73" s="47"/>
    </row>
    <row r="74" ht="16.5" customHeight="1" spans="1:6" x14ac:dyDescent="0.25">
      <c r="A74" s="46">
        <v>2.6</v>
      </c>
      <c r="B74" s="60" t="s">
        <v>63</v>
      </c>
      <c r="C74" s="58" t="s">
        <v>57</v>
      </c>
      <c r="D74" s="59"/>
      <c r="E74" s="58"/>
      <c r="F74" s="58">
        <f>E74*D74</f>
      </c>
    </row>
    <row r="75" ht="16.5" customHeight="1" spans="1:6" x14ac:dyDescent="0.25">
      <c r="A75" s="46"/>
      <c r="B75" s="33"/>
      <c r="C75" s="47"/>
      <c r="D75" s="40"/>
      <c r="E75" s="47"/>
      <c r="F75" s="47"/>
    </row>
    <row r="76" ht="16.5" customHeight="1" spans="1:6" x14ac:dyDescent="0.25">
      <c r="A76" s="46">
        <v>2.7</v>
      </c>
      <c r="B76" s="60" t="s">
        <v>64</v>
      </c>
      <c r="C76" s="58" t="s">
        <v>55</v>
      </c>
      <c r="D76" s="59"/>
      <c r="E76" s="58"/>
      <c r="F76" s="58">
        <f>E76*D76</f>
      </c>
    </row>
    <row r="77" ht="16.5" customHeight="1" spans="1:6" x14ac:dyDescent="0.25">
      <c r="A77" s="46"/>
      <c r="B77" s="33"/>
      <c r="C77" s="47"/>
      <c r="D77" s="40"/>
      <c r="E77" s="47"/>
      <c r="F77" s="47"/>
    </row>
    <row r="78" ht="115.5" customHeight="1" spans="1:6" s="31" customFormat="1" x14ac:dyDescent="0.25">
      <c r="A78" s="46">
        <v>2.8</v>
      </c>
      <c r="B78" s="60" t="s">
        <v>65</v>
      </c>
      <c r="C78" s="58" t="s">
        <v>55</v>
      </c>
      <c r="D78" s="59"/>
      <c r="E78" s="58"/>
      <c r="F78" s="58">
        <f>E78*D78</f>
      </c>
    </row>
    <row r="79" ht="16.5" customHeight="1" spans="1:6" s="31" customFormat="1" x14ac:dyDescent="0.25">
      <c r="A79" s="46"/>
      <c r="B79" s="60"/>
      <c r="C79" s="58"/>
      <c r="D79" s="59"/>
      <c r="E79" s="58"/>
      <c r="F79" s="58"/>
    </row>
    <row r="80" ht="16.5" customHeight="1" spans="1:6" s="31" customFormat="1" x14ac:dyDescent="0.25">
      <c r="A80" s="46"/>
      <c r="B80" s="61" t="s">
        <v>66</v>
      </c>
      <c r="C80" s="58"/>
      <c r="D80" s="59"/>
      <c r="E80" s="58"/>
      <c r="F80" s="58"/>
    </row>
    <row r="81" ht="16.5" customHeight="1" spans="1:6" s="31" customFormat="1" x14ac:dyDescent="0.25">
      <c r="A81" s="46"/>
      <c r="B81" s="60"/>
      <c r="C81" s="58"/>
      <c r="D81" s="59"/>
      <c r="E81" s="58"/>
      <c r="F81" s="58"/>
    </row>
    <row r="82" ht="66" customHeight="1" spans="1:6" s="31" customFormat="1" x14ac:dyDescent="0.25">
      <c r="A82" s="46">
        <v>2.9</v>
      </c>
      <c r="B82" s="60" t="s">
        <v>67</v>
      </c>
      <c r="C82" s="58" t="s">
        <v>68</v>
      </c>
      <c r="D82" s="59"/>
      <c r="E82" s="58"/>
      <c r="F82" s="58">
        <f>E82*D82</f>
      </c>
    </row>
    <row r="83" ht="16.5" customHeight="1" spans="1:6" s="31" customFormat="1" x14ac:dyDescent="0.25">
      <c r="A83" s="46"/>
      <c r="B83" s="60"/>
      <c r="C83" s="58"/>
      <c r="D83" s="59"/>
      <c r="E83" s="58"/>
      <c r="F83" s="58"/>
    </row>
    <row r="84" ht="66" customHeight="1" spans="1:6" s="31" customFormat="1" x14ac:dyDescent="0.25">
      <c r="A84" s="24">
        <v>2.1</v>
      </c>
      <c r="B84" s="60" t="s">
        <v>69</v>
      </c>
      <c r="C84" s="58" t="s">
        <v>70</v>
      </c>
      <c r="D84" s="59"/>
      <c r="E84" s="58"/>
      <c r="F84" s="58">
        <f>E84*D84</f>
      </c>
    </row>
    <row r="85" ht="16.5" customHeight="1" spans="1:6" s="31" customFormat="1" x14ac:dyDescent="0.25">
      <c r="A85" s="46"/>
      <c r="B85" s="60"/>
      <c r="C85" s="58"/>
      <c r="D85" s="59"/>
      <c r="E85" s="58"/>
      <c r="F85" s="58"/>
    </row>
    <row r="86" ht="16.5" customHeight="1" spans="1:6" s="31" customFormat="1" x14ac:dyDescent="0.25">
      <c r="A86" s="46">
        <v>2.11</v>
      </c>
      <c r="B86" s="60" t="s">
        <v>71</v>
      </c>
      <c r="C86" s="58" t="s">
        <v>68</v>
      </c>
      <c r="D86" s="59"/>
      <c r="E86" s="58"/>
      <c r="F86" s="58">
        <f>E86*D86</f>
      </c>
    </row>
    <row r="87" ht="16.5" customHeight="1" spans="1:6" x14ac:dyDescent="0.25">
      <c r="A87" s="46"/>
      <c r="B87" s="33"/>
      <c r="C87" s="47"/>
      <c r="D87" s="40"/>
      <c r="E87" s="47"/>
      <c r="F87" s="47"/>
    </row>
    <row r="88" ht="28.5" customHeight="1" spans="1:6" x14ac:dyDescent="0.25">
      <c r="A88" s="51"/>
      <c r="B88" s="11" t="s">
        <v>49</v>
      </c>
      <c r="C88" s="62"/>
      <c r="D88" s="63"/>
      <c r="E88" s="64" t="s">
        <v>50</v>
      </c>
      <c r="F88" s="64">
        <f>SUM(F60:F86)</f>
        <v>1557270</v>
      </c>
    </row>
    <row r="89" ht="16.5" customHeight="1" spans="1:6" x14ac:dyDescent="0.25">
      <c r="A89" s="34"/>
      <c r="B89" s="35"/>
      <c r="C89" s="36"/>
      <c r="D89" s="36"/>
      <c r="E89" s="36"/>
      <c r="F89" s="37"/>
    </row>
    <row r="90" ht="16.5" customHeight="1" spans="1:6" x14ac:dyDescent="0.25">
      <c r="A90" s="38" t="s">
        <v>72</v>
      </c>
      <c r="B90" s="39" t="s">
        <v>73</v>
      </c>
      <c r="C90" s="39"/>
      <c r="D90" s="39"/>
      <c r="E90" s="40"/>
      <c r="F90" s="41"/>
    </row>
    <row r="91" ht="16.5" customHeight="1" spans="1:6" x14ac:dyDescent="0.25">
      <c r="A91" s="42"/>
      <c r="B91" s="43"/>
      <c r="C91" s="40"/>
      <c r="D91" s="40"/>
      <c r="E91" s="40"/>
      <c r="F91" s="41"/>
    </row>
    <row r="92" spans="1:6" x14ac:dyDescent="0.25">
      <c r="A92" s="10" t="s">
        <v>6</v>
      </c>
      <c r="B92" s="11" t="s">
        <v>7</v>
      </c>
      <c r="C92" s="44" t="s">
        <v>8</v>
      </c>
      <c r="D92" s="45" t="s">
        <v>9</v>
      </c>
      <c r="E92" s="15" t="s">
        <v>10</v>
      </c>
      <c r="F92" s="15" t="s">
        <v>11</v>
      </c>
    </row>
    <row r="93" ht="16.5" customHeight="1" spans="1:6" x14ac:dyDescent="0.25">
      <c r="A93" s="65"/>
      <c r="B93" s="66"/>
      <c r="C93" s="67"/>
      <c r="D93" s="67"/>
      <c r="E93" s="67"/>
      <c r="F93" s="67"/>
    </row>
    <row r="94" ht="82.5" customHeight="1" spans="1:6" x14ac:dyDescent="0.25">
      <c r="A94" s="46" t="s">
        <v>74</v>
      </c>
      <c r="B94" s="68" t="s">
        <v>75</v>
      </c>
      <c r="C94" s="58" t="s">
        <v>57</v>
      </c>
      <c r="D94" s="58"/>
      <c r="E94" s="58"/>
      <c r="F94" s="58">
        <f>E94*D94</f>
      </c>
    </row>
    <row r="95" ht="16.5" customHeight="1" spans="1:6" x14ac:dyDescent="0.25">
      <c r="A95" s="46"/>
      <c r="B95" s="68"/>
      <c r="C95" s="58"/>
      <c r="D95" s="58"/>
      <c r="E95" s="58"/>
      <c r="F95" s="58"/>
    </row>
    <row r="96" ht="49.5" customHeight="1" spans="1:6" x14ac:dyDescent="0.25">
      <c r="A96" s="46">
        <v>3.2</v>
      </c>
      <c r="B96" s="68" t="s">
        <v>76</v>
      </c>
      <c r="C96" s="58" t="s">
        <v>55</v>
      </c>
      <c r="D96" s="58"/>
      <c r="E96" s="58"/>
      <c r="F96" s="58">
        <f>E96*D96</f>
      </c>
    </row>
    <row r="97" ht="16.5" customHeight="1" spans="1:6" x14ac:dyDescent="0.25">
      <c r="A97" s="46"/>
      <c r="B97" s="68"/>
      <c r="C97" s="58"/>
      <c r="D97" s="58"/>
      <c r="E97" s="58"/>
      <c r="F97" s="58"/>
    </row>
    <row r="98" ht="49.5" customHeight="1" spans="1:6" x14ac:dyDescent="0.25">
      <c r="A98" s="46">
        <v>3.3</v>
      </c>
      <c r="B98" s="68" t="s">
        <v>77</v>
      </c>
      <c r="C98" s="58" t="s">
        <v>57</v>
      </c>
      <c r="D98" s="58"/>
      <c r="E98" s="58"/>
      <c r="F98" s="58">
        <f>E98*D98</f>
      </c>
    </row>
    <row r="99" ht="16.5" customHeight="1" spans="1:6" x14ac:dyDescent="0.25">
      <c r="A99" s="46"/>
      <c r="B99" s="68"/>
      <c r="C99" s="58"/>
      <c r="D99" s="58"/>
      <c r="E99" s="58"/>
      <c r="F99" s="58"/>
    </row>
    <row r="100" ht="66" customHeight="1" spans="1:6" x14ac:dyDescent="0.25">
      <c r="A100" s="46">
        <v>3.4</v>
      </c>
      <c r="B100" s="68" t="s">
        <v>78</v>
      </c>
      <c r="C100" s="58" t="s">
        <v>57</v>
      </c>
      <c r="D100" s="58"/>
      <c r="E100" s="58"/>
      <c r="F100" s="58">
        <f>E100*D100</f>
      </c>
    </row>
    <row r="101" ht="16.5" customHeight="1" spans="1:6" x14ac:dyDescent="0.25">
      <c r="A101" s="46"/>
      <c r="B101" s="68"/>
      <c r="C101" s="58"/>
      <c r="D101" s="58"/>
      <c r="E101" s="58"/>
      <c r="F101" s="58"/>
    </row>
    <row r="102" ht="115.5" customHeight="1" spans="1:6" x14ac:dyDescent="0.25">
      <c r="A102" s="46">
        <v>3.5</v>
      </c>
      <c r="B102" s="68" t="s">
        <v>65</v>
      </c>
      <c r="C102" s="58" t="s">
        <v>55</v>
      </c>
      <c r="D102" s="58"/>
      <c r="E102" s="58"/>
      <c r="F102" s="58">
        <f>E102*D102</f>
      </c>
    </row>
    <row r="103" ht="16.5" customHeight="1" spans="1:6" x14ac:dyDescent="0.25">
      <c r="A103" s="46"/>
      <c r="B103" s="68"/>
      <c r="C103" s="58"/>
      <c r="D103" s="58"/>
      <c r="E103" s="58"/>
      <c r="F103" s="58"/>
    </row>
    <row r="104" ht="33" customHeight="1" spans="1:6" x14ac:dyDescent="0.25">
      <c r="A104" s="46">
        <v>3.6</v>
      </c>
      <c r="B104" s="68" t="s">
        <v>79</v>
      </c>
      <c r="C104" s="58" t="s">
        <v>80</v>
      </c>
      <c r="D104" s="58"/>
      <c r="E104" s="58"/>
      <c r="F104" s="58">
        <f>E104*D104</f>
      </c>
    </row>
    <row r="105" ht="16.5" customHeight="1" spans="1:6" x14ac:dyDescent="0.25">
      <c r="A105" s="46"/>
      <c r="B105" s="68"/>
      <c r="C105" s="58"/>
      <c r="D105" s="58"/>
      <c r="E105" s="58"/>
      <c r="F105" s="58"/>
    </row>
    <row r="106" ht="33" customHeight="1" spans="1:6" x14ac:dyDescent="0.25">
      <c r="A106" s="46">
        <v>3.7</v>
      </c>
      <c r="B106" s="68" t="s">
        <v>81</v>
      </c>
      <c r="C106" s="58" t="s">
        <v>68</v>
      </c>
      <c r="D106" s="58"/>
      <c r="E106" s="58"/>
      <c r="F106" s="58">
        <f>E106*D106</f>
      </c>
    </row>
    <row r="107" ht="16.5" customHeight="1" spans="1:6" x14ac:dyDescent="0.25">
      <c r="A107" s="46"/>
      <c r="B107" s="68"/>
      <c r="C107" s="58"/>
      <c r="D107" s="58"/>
      <c r="E107" s="58"/>
      <c r="F107" s="58"/>
    </row>
    <row r="108" ht="33" customHeight="1" spans="1:6" x14ac:dyDescent="0.25">
      <c r="A108" s="46">
        <v>3.8</v>
      </c>
      <c r="B108" s="68" t="s">
        <v>82</v>
      </c>
      <c r="C108" s="58" t="s">
        <v>68</v>
      </c>
      <c r="D108" s="58"/>
      <c r="E108" s="58"/>
      <c r="F108" s="58">
        <f>E108*D108</f>
      </c>
    </row>
    <row r="109" ht="16.5" customHeight="1" spans="1:6" x14ac:dyDescent="0.25">
      <c r="A109" s="46"/>
      <c r="B109" s="68"/>
      <c r="C109" s="58"/>
      <c r="D109" s="58"/>
      <c r="E109" s="58"/>
      <c r="F109" s="58"/>
    </row>
    <row r="110" ht="16.5" customHeight="1" spans="1:6" x14ac:dyDescent="0.25">
      <c r="A110" s="46"/>
      <c r="B110" s="69" t="s">
        <v>83</v>
      </c>
      <c r="C110" s="58"/>
      <c r="D110" s="58"/>
      <c r="E110" s="58"/>
      <c r="F110" s="58"/>
    </row>
    <row r="111" ht="16.5" customHeight="1" spans="1:6" x14ac:dyDescent="0.25">
      <c r="A111" s="46"/>
      <c r="B111" s="68"/>
      <c r="C111" s="58"/>
      <c r="D111" s="58"/>
      <c r="E111" s="58"/>
      <c r="F111" s="58"/>
    </row>
    <row r="112" ht="49.5" customHeight="1" spans="1:6" x14ac:dyDescent="0.25">
      <c r="A112" s="46">
        <v>3.9</v>
      </c>
      <c r="B112" s="68" t="s">
        <v>84</v>
      </c>
      <c r="C112" s="58" t="s">
        <v>68</v>
      </c>
      <c r="D112" s="58"/>
      <c r="E112" s="58"/>
      <c r="F112" s="58">
        <f>E112*D112</f>
      </c>
    </row>
    <row r="113" ht="16.5" customHeight="1" spans="1:6" x14ac:dyDescent="0.25">
      <c r="A113" s="46"/>
      <c r="B113" s="68"/>
      <c r="C113" s="58"/>
      <c r="D113" s="58"/>
      <c r="E113" s="58"/>
      <c r="F113" s="58"/>
    </row>
    <row r="114" ht="33" customHeight="1" spans="1:6" x14ac:dyDescent="0.25">
      <c r="A114" s="24">
        <v>3.1</v>
      </c>
      <c r="B114" s="68" t="s">
        <v>85</v>
      </c>
      <c r="C114" s="58" t="s">
        <v>80</v>
      </c>
      <c r="D114" s="58"/>
      <c r="E114" s="58"/>
      <c r="F114" s="58">
        <f>E114*D114</f>
      </c>
    </row>
    <row r="115" ht="16.5" customHeight="1" spans="1:6" x14ac:dyDescent="0.25">
      <c r="A115" s="46"/>
      <c r="B115" s="68"/>
      <c r="C115" s="58"/>
      <c r="D115" s="58"/>
      <c r="E115" s="58"/>
      <c r="F115" s="58"/>
    </row>
    <row r="116" ht="16.5" customHeight="1" spans="1:6" x14ac:dyDescent="0.25">
      <c r="A116" s="70"/>
      <c r="B116" s="71"/>
      <c r="C116" s="72"/>
      <c r="D116" s="72"/>
      <c r="E116" s="72"/>
      <c r="F116" s="73"/>
    </row>
    <row r="117" ht="28.5" customHeight="1" spans="1:6" s="31" customFormat="1" x14ac:dyDescent="0.25">
      <c r="A117" s="70"/>
      <c r="B117" s="74" t="s">
        <v>49</v>
      </c>
      <c r="C117" s="75"/>
      <c r="D117" s="75"/>
      <c r="E117" s="75" t="s">
        <v>50</v>
      </c>
      <c r="F117" s="76">
        <f>SUM(F94:F115)</f>
        <v>1518154</v>
      </c>
    </row>
    <row r="118" ht="16.5" customHeight="1" spans="1:6" x14ac:dyDescent="0.25">
      <c r="A118" s="34"/>
      <c r="B118" s="35"/>
      <c r="C118" s="36"/>
      <c r="D118" s="36"/>
      <c r="E118" s="36"/>
      <c r="F118" s="37"/>
    </row>
    <row r="119" ht="16.5" customHeight="1" spans="1:6" x14ac:dyDescent="0.25">
      <c r="A119" s="42" t="s">
        <v>86</v>
      </c>
      <c r="B119" s="39" t="s">
        <v>87</v>
      </c>
      <c r="C119" s="39"/>
      <c r="D119" s="39"/>
      <c r="E119" s="40"/>
      <c r="F119" s="41"/>
    </row>
    <row r="120" ht="16.5" customHeight="1" spans="1:6" x14ac:dyDescent="0.25">
      <c r="A120" s="42"/>
      <c r="B120" s="43"/>
      <c r="C120" s="40"/>
      <c r="D120" s="40"/>
      <c r="E120" s="40"/>
      <c r="F120" s="41"/>
    </row>
    <row r="121" spans="1:6" x14ac:dyDescent="0.25">
      <c r="A121" s="10" t="s">
        <v>6</v>
      </c>
      <c r="B121" s="11" t="s">
        <v>7</v>
      </c>
      <c r="C121" s="44" t="s">
        <v>8</v>
      </c>
      <c r="D121" s="45" t="s">
        <v>9</v>
      </c>
      <c r="E121" s="15" t="s">
        <v>10</v>
      </c>
      <c r="F121" s="15" t="s">
        <v>11</v>
      </c>
    </row>
    <row r="122" ht="16.5" customHeight="1" spans="1:6" x14ac:dyDescent="0.25">
      <c r="A122" s="65"/>
      <c r="B122" s="66"/>
      <c r="C122" s="67"/>
      <c r="D122" s="67"/>
      <c r="E122" s="67"/>
      <c r="F122" s="67"/>
    </row>
    <row r="123" ht="16.5" customHeight="1" spans="1:6" x14ac:dyDescent="0.25">
      <c r="A123" s="46"/>
      <c r="C123" s="47"/>
      <c r="D123" s="40"/>
      <c r="E123" s="47"/>
      <c r="F123" s="47"/>
    </row>
    <row r="124" ht="16.5" customHeight="1" spans="1:10" s="31" customFormat="1" x14ac:dyDescent="0.25">
      <c r="A124" s="46" t="s">
        <v>88</v>
      </c>
      <c r="B124" s="60" t="s">
        <v>89</v>
      </c>
      <c r="C124" s="58" t="s">
        <v>90</v>
      </c>
      <c r="D124" s="59"/>
      <c r="E124" s="58"/>
      <c r="F124" s="58">
        <f>E124*D124</f>
      </c>
      <c r="I124" s="77"/>
      <c r="J124" s="77"/>
    </row>
    <row r="125" ht="16.5" customHeight="1" spans="1:6" x14ac:dyDescent="0.25">
      <c r="A125" s="46"/>
      <c r="B125" s="33"/>
      <c r="C125" s="47"/>
      <c r="D125" s="40"/>
      <c r="E125" s="47"/>
      <c r="F125" s="47"/>
    </row>
    <row r="126" ht="28.5" customHeight="1" spans="1:6" s="31" customFormat="1" x14ac:dyDescent="0.25">
      <c r="A126" s="51"/>
      <c r="B126" s="11" t="s">
        <v>49</v>
      </c>
      <c r="C126" s="62"/>
      <c r="D126" s="63"/>
      <c r="E126" s="64" t="s">
        <v>50</v>
      </c>
      <c r="F126" s="64">
        <f>SUM(F123:F125)</f>
        <v>25000</v>
      </c>
    </row>
    <row r="127" ht="16.5" customHeight="1" spans="1:6" x14ac:dyDescent="0.25">
      <c r="A127" s="34"/>
      <c r="B127" s="35"/>
      <c r="C127" s="36"/>
      <c r="D127" s="36"/>
      <c r="E127" s="36"/>
      <c r="F127" s="37"/>
    </row>
    <row r="128" ht="16.5" customHeight="1" spans="1:6" x14ac:dyDescent="0.25">
      <c r="A128" s="34"/>
      <c r="B128" s="35"/>
      <c r="C128" s="36"/>
      <c r="D128" s="36"/>
      <c r="E128" s="36"/>
      <c r="F128" s="37"/>
    </row>
    <row r="129" ht="16.5" customHeight="1" spans="1:6" x14ac:dyDescent="0.25">
      <c r="A129" s="42"/>
      <c r="B129" s="39" t="s">
        <v>91</v>
      </c>
      <c r="C129" s="39"/>
      <c r="D129" s="39"/>
      <c r="E129" s="39"/>
      <c r="F129" s="78"/>
    </row>
    <row r="130" ht="16.5" customHeight="1" spans="1:6" x14ac:dyDescent="0.25">
      <c r="A130" s="79"/>
      <c r="B130" s="80"/>
      <c r="C130" s="81"/>
      <c r="D130" s="81"/>
      <c r="E130" s="81"/>
      <c r="F130" s="82"/>
    </row>
    <row r="131" spans="1:6" x14ac:dyDescent="0.25">
      <c r="A131" s="10" t="s">
        <v>6</v>
      </c>
      <c r="B131" s="11" t="s">
        <v>7</v>
      </c>
      <c r="C131" s="44" t="s">
        <v>8</v>
      </c>
      <c r="D131" s="45" t="s">
        <v>9</v>
      </c>
      <c r="E131" s="15" t="s">
        <v>10</v>
      </c>
      <c r="F131" s="15" t="s">
        <v>11</v>
      </c>
    </row>
    <row r="132" spans="1:6" x14ac:dyDescent="0.25">
      <c r="A132" s="83"/>
      <c r="B132" s="84"/>
      <c r="C132" s="85"/>
      <c r="D132" s="86"/>
      <c r="E132" s="87"/>
      <c r="F132" s="87"/>
    </row>
    <row r="133" ht="16.5" customHeight="1" spans="1:6" x14ac:dyDescent="0.25">
      <c r="A133" s="46">
        <v>1</v>
      </c>
      <c r="B133" s="33" t="s">
        <v>92</v>
      </c>
      <c r="C133" s="47"/>
      <c r="D133" s="40"/>
      <c r="E133" s="47"/>
      <c r="F133" s="47">
        <f>F52</f>
        <v>77500</v>
      </c>
    </row>
    <row r="134" ht="16.5" customHeight="1" spans="1:6" x14ac:dyDescent="0.25">
      <c r="A134" s="46"/>
      <c r="B134" s="33"/>
      <c r="C134" s="47"/>
      <c r="D134" s="40"/>
      <c r="E134" s="47"/>
      <c r="F134" s="47"/>
    </row>
    <row r="135" ht="16.5" customHeight="1" spans="1:6" x14ac:dyDescent="0.25">
      <c r="A135" s="46">
        <v>2</v>
      </c>
      <c r="B135" s="33" t="s">
        <v>93</v>
      </c>
      <c r="C135" s="47"/>
      <c r="D135" s="40"/>
      <c r="E135" s="47"/>
      <c r="F135" s="47">
        <f>F88</f>
        <v>1557270</v>
      </c>
    </row>
    <row r="136" ht="16.5" customHeight="1" spans="1:6" x14ac:dyDescent="0.25">
      <c r="A136" s="46"/>
      <c r="B136" s="33"/>
      <c r="C136" s="47"/>
      <c r="D136" s="40"/>
      <c r="E136" s="47"/>
      <c r="F136" s="47"/>
    </row>
    <row r="137" ht="16.5" customHeight="1" spans="1:6" x14ac:dyDescent="0.25">
      <c r="A137" s="46">
        <v>3</v>
      </c>
      <c r="B137" s="33" t="s">
        <v>94</v>
      </c>
      <c r="C137" s="47"/>
      <c r="D137" s="40"/>
      <c r="E137" s="47"/>
      <c r="F137" s="47">
        <f>F117</f>
        <v>1518154</v>
      </c>
    </row>
    <row r="138" ht="16.5" customHeight="1" spans="1:6" x14ac:dyDescent="0.25">
      <c r="A138" s="46"/>
      <c r="B138" s="33"/>
      <c r="C138" s="47"/>
      <c r="D138" s="40"/>
      <c r="E138" s="47"/>
      <c r="F138" s="47"/>
    </row>
    <row r="139" ht="16.5" customHeight="1" spans="1:6" x14ac:dyDescent="0.25">
      <c r="A139" s="46">
        <v>4</v>
      </c>
      <c r="B139" s="33" t="s">
        <v>95</v>
      </c>
      <c r="C139" s="47"/>
      <c r="D139" s="40"/>
      <c r="E139" s="47"/>
      <c r="F139" s="47">
        <f>F126</f>
        <v>25000</v>
      </c>
    </row>
    <row r="140" ht="16.5" customHeight="1" spans="1:6" x14ac:dyDescent="0.25">
      <c r="A140" s="46"/>
      <c r="B140" s="33"/>
      <c r="C140" s="47"/>
      <c r="D140" s="40"/>
      <c r="E140" s="47"/>
      <c r="F140" s="47"/>
    </row>
    <row r="141" ht="16.5" customHeight="1" spans="1:6" x14ac:dyDescent="0.25">
      <c r="A141" s="51"/>
      <c r="B141" s="88" t="s">
        <v>96</v>
      </c>
      <c r="C141" s="89"/>
      <c r="D141" s="90"/>
      <c r="E141" s="91" t="s">
        <v>50</v>
      </c>
      <c r="F141" s="91">
        <f>SUM(F133:F139)</f>
        <v>3177924</v>
      </c>
    </row>
  </sheetData>
  <mergeCells count="11">
    <mergeCell ref="A2:F2"/>
    <mergeCell ref="A3:F3"/>
    <mergeCell ref="A4:F4"/>
    <mergeCell ref="A5:F5"/>
    <mergeCell ref="A6:F6"/>
    <mergeCell ref="A7:F7"/>
    <mergeCell ref="B44:D44"/>
    <mergeCell ref="B54:D54"/>
    <mergeCell ref="B90:D90"/>
    <mergeCell ref="B119:D119"/>
    <mergeCell ref="B129:E129"/>
  </mergeCells>
  <pageMargins left="0.7" right="0.7" top="0.75" bottom="0.75" header="0.3" footer="0.3"/>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Walkway &amp; Drainage</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DEMAS</cp:lastModifiedBy>
  <dcterms:created xsi:type="dcterms:W3CDTF">2024-12-06T18:37:43Z</dcterms:created>
  <dcterms:modified xsi:type="dcterms:W3CDTF">2025-10-22T11:36:54Z</dcterms:modified>
</cp:coreProperties>
</file>