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nksan\Data\Factory\EObe\FRED SIMWASE\TENDER DOCUMENT\"/>
    </mc:Choice>
  </mc:AlternateContent>
  <xr:revisionPtr revIDLastSave="0" documentId="13_ncr:1_{6C79F8DE-17C5-47E0-93E1-6235A9BCF500}" xr6:coauthVersionLast="47" xr6:coauthVersionMax="47" xr10:uidLastSave="{00000000-0000-0000-0000-000000000000}"/>
  <bookViews>
    <workbookView xWindow="-108" yWindow="-108" windowWidth="23256" windowHeight="13896" xr2:uid="{E70C0D55-182D-4CE6-8D19-B2DD19C3EEC0}"/>
  </bookViews>
  <sheets>
    <sheet name="BOQ DRIP &amp; FILTER STATION" sheetId="1" r:id="rId1"/>
  </sheets>
  <definedNames>
    <definedName name="_xlnm.Print_Area" localSheetId="0">'BOQ DRIP &amp; FILTER STATION'!$A$1:$F$1086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48" i="1" l="1"/>
  <c r="F1044" i="1"/>
  <c r="F1038" i="1"/>
  <c r="F1034" i="1"/>
  <c r="F1032" i="1"/>
  <c r="F1030" i="1"/>
  <c r="F1028" i="1"/>
  <c r="F1026" i="1"/>
  <c r="F1024" i="1"/>
  <c r="F1022" i="1"/>
  <c r="F1020" i="1"/>
  <c r="F1018" i="1"/>
  <c r="F1016" i="1"/>
  <c r="F1008" i="1"/>
  <c r="F1004" i="1"/>
  <c r="F1000" i="1"/>
  <c r="F998" i="1"/>
  <c r="F996" i="1"/>
  <c r="F990" i="1"/>
  <c r="F986" i="1"/>
  <c r="F984" i="1"/>
  <c r="F980" i="1"/>
  <c r="F970" i="1"/>
  <c r="F966" i="1"/>
  <c r="F962" i="1"/>
  <c r="F958" i="1"/>
  <c r="F954" i="1"/>
  <c r="F950" i="1"/>
  <c r="F937" i="1"/>
  <c r="F627" i="1"/>
  <c r="F414" i="1"/>
  <c r="F412" i="1"/>
  <c r="F410" i="1"/>
  <c r="F408" i="1"/>
  <c r="F406" i="1"/>
  <c r="F933" i="1"/>
  <c r="F929" i="1"/>
  <c r="F927" i="1"/>
  <c r="F925" i="1"/>
  <c r="F912" i="1"/>
  <c r="F910" i="1"/>
  <c r="F908" i="1"/>
  <c r="F907" i="1"/>
  <c r="F906" i="1"/>
  <c r="F904" i="1"/>
  <c r="F902" i="1"/>
  <c r="F900" i="1"/>
  <c r="F898" i="1"/>
  <c r="F896" i="1"/>
  <c r="F894" i="1"/>
  <c r="F892" i="1"/>
  <c r="F890" i="1"/>
  <c r="F888" i="1"/>
  <c r="F886" i="1"/>
  <c r="F884" i="1"/>
  <c r="F873" i="1"/>
  <c r="F871" i="1"/>
  <c r="F869" i="1"/>
  <c r="F867" i="1"/>
  <c r="F865" i="1"/>
  <c r="F863" i="1"/>
  <c r="F861" i="1"/>
  <c r="F859" i="1"/>
  <c r="F857" i="1"/>
  <c r="F855" i="1"/>
  <c r="F853" i="1"/>
  <c r="F851" i="1"/>
  <c r="F847" i="1"/>
  <c r="F845" i="1"/>
  <c r="F843" i="1"/>
  <c r="F841" i="1"/>
  <c r="F839" i="1"/>
  <c r="F837" i="1"/>
  <c r="F835" i="1"/>
  <c r="F938" i="1"/>
  <c r="F931" i="1"/>
  <c r="F913" i="1"/>
  <c r="F911" i="1"/>
  <c r="F909" i="1"/>
  <c r="F905" i="1"/>
  <c r="F903" i="1"/>
  <c r="F901" i="1"/>
  <c r="F899" i="1"/>
  <c r="F897" i="1"/>
  <c r="F895" i="1"/>
  <c r="F893" i="1"/>
  <c r="F891" i="1"/>
  <c r="F889" i="1"/>
  <c r="F887" i="1"/>
  <c r="F885" i="1"/>
  <c r="F972" i="1" l="1"/>
  <c r="F1058" i="1" s="1"/>
  <c r="F1050" i="1"/>
  <c r="F1062" i="1" s="1"/>
  <c r="F1010" i="1"/>
  <c r="F1060" i="1" s="1"/>
  <c r="F1065" i="1" s="1"/>
  <c r="F1084" i="1" s="1"/>
  <c r="F939" i="1"/>
  <c r="F1082" i="1" s="1"/>
  <c r="F914" i="1"/>
  <c r="F1080" i="1" s="1"/>
  <c r="F874" i="1" l="1"/>
  <c r="D849" i="1"/>
  <c r="F849" i="1" s="1"/>
  <c r="F833" i="1"/>
  <c r="F831" i="1"/>
  <c r="F794" i="1"/>
  <c r="F792" i="1"/>
  <c r="F788" i="1"/>
  <c r="F778" i="1"/>
  <c r="F774" i="1"/>
  <c r="F770" i="1"/>
  <c r="F768" i="1"/>
  <c r="F766" i="1"/>
  <c r="F756" i="1"/>
  <c r="F754" i="1"/>
  <c r="F750" i="1"/>
  <c r="F744" i="1"/>
  <c r="F740" i="1"/>
  <c r="F738" i="1"/>
  <c r="F736" i="1"/>
  <c r="F734" i="1"/>
  <c r="F732" i="1"/>
  <c r="F728" i="1"/>
  <c r="F721" i="1"/>
  <c r="F701" i="1"/>
  <c r="F699" i="1"/>
  <c r="F697" i="1"/>
  <c r="F695" i="1"/>
  <c r="F693" i="1"/>
  <c r="F689" i="1"/>
  <c r="F687" i="1"/>
  <c r="F685" i="1"/>
  <c r="F683" i="1"/>
  <c r="F681" i="1"/>
  <c r="F679" i="1"/>
  <c r="F673" i="1"/>
  <c r="F671" i="1"/>
  <c r="F669" i="1"/>
  <c r="F667" i="1"/>
  <c r="F665" i="1"/>
  <c r="F661" i="1"/>
  <c r="F659" i="1"/>
  <c r="F657" i="1"/>
  <c r="F655" i="1"/>
  <c r="F653" i="1"/>
  <c r="F651" i="1"/>
  <c r="F649" i="1"/>
  <c r="F645" i="1"/>
  <c r="F643" i="1"/>
  <c r="F633" i="1"/>
  <c r="F631" i="1"/>
  <c r="F625" i="1"/>
  <c r="F615" i="1"/>
  <c r="F613" i="1"/>
  <c r="F611" i="1"/>
  <c r="F605" i="1"/>
  <c r="F601" i="1"/>
  <c r="F597" i="1"/>
  <c r="F595" i="1"/>
  <c r="F593" i="1"/>
  <c r="F550" i="1"/>
  <c r="F585" i="1"/>
  <c r="F587" i="1" s="1"/>
  <c r="F808" i="1" s="1"/>
  <c r="F577" i="1"/>
  <c r="F573" i="1"/>
  <c r="F571" i="1"/>
  <c r="F567" i="1"/>
  <c r="F565" i="1"/>
  <c r="F561" i="1"/>
  <c r="F559" i="1"/>
  <c r="F546" i="1"/>
  <c r="F542" i="1"/>
  <c r="F536" i="1"/>
  <c r="F522" i="1"/>
  <c r="F518" i="1"/>
  <c r="F514" i="1"/>
  <c r="F508" i="1"/>
  <c r="F504" i="1"/>
  <c r="F498" i="1"/>
  <c r="F494" i="1"/>
  <c r="F490" i="1"/>
  <c r="F484" i="1"/>
  <c r="F480" i="1"/>
  <c r="F476" i="1"/>
  <c r="F472" i="1"/>
  <c r="F468" i="1"/>
  <c r="F464" i="1"/>
  <c r="F462" i="1"/>
  <c r="F460" i="1"/>
  <c r="F458" i="1"/>
  <c r="F726" i="1"/>
  <c r="D526" i="1"/>
  <c r="F526" i="1" s="1"/>
  <c r="F875" i="1" l="1"/>
  <c r="F1078" i="1" s="1"/>
  <c r="F579" i="1"/>
  <c r="F806" i="1" s="1"/>
  <c r="F796" i="1"/>
  <c r="F820" i="1" s="1"/>
  <c r="F703" i="1"/>
  <c r="F814" i="1" s="1"/>
  <c r="F635" i="1"/>
  <c r="F812" i="1" s="1"/>
  <c r="F780" i="1"/>
  <c r="F818" i="1" s="1"/>
  <c r="F617" i="1"/>
  <c r="F810" i="1" s="1"/>
  <c r="F758" i="1"/>
  <c r="F816" i="1" s="1"/>
  <c r="F553" i="1"/>
  <c r="F804" i="1" s="1"/>
  <c r="F528" i="1"/>
  <c r="F802" i="1" s="1"/>
  <c r="F822" i="1" l="1"/>
  <c r="F1076" i="1" s="1"/>
  <c r="F398" i="1" l="1"/>
  <c r="F396" i="1"/>
  <c r="F392" i="1"/>
  <c r="F390" i="1"/>
  <c r="F382" i="1"/>
  <c r="F380" i="1"/>
  <c r="F370" i="1"/>
  <c r="F368" i="1"/>
  <c r="F362" i="1"/>
  <c r="F356" i="1"/>
  <c r="F354" i="1"/>
  <c r="F348" i="1"/>
  <c r="F342" i="1"/>
  <c r="F340" i="1"/>
  <c r="F338" i="1"/>
  <c r="F336" i="1"/>
  <c r="F334" i="1"/>
  <c r="F332" i="1"/>
  <c r="F328" i="1"/>
  <c r="F309" i="1"/>
  <c r="F303" i="1"/>
  <c r="F301" i="1"/>
  <c r="F297" i="1"/>
  <c r="F295" i="1"/>
  <c r="F293" i="1"/>
  <c r="F291" i="1"/>
  <c r="F289" i="1"/>
  <c r="F287" i="1"/>
  <c r="F285" i="1"/>
  <c r="F283" i="1"/>
  <c r="F281" i="1"/>
  <c r="F279" i="1"/>
  <c r="F277" i="1"/>
  <c r="F275" i="1"/>
  <c r="F271" i="1"/>
  <c r="F267" i="1"/>
  <c r="F251" i="1"/>
  <c r="F247" i="1"/>
  <c r="F245" i="1"/>
  <c r="F243" i="1"/>
  <c r="F241" i="1"/>
  <c r="F239" i="1"/>
  <c r="F257" i="1"/>
  <c r="F416" i="1" l="1"/>
  <c r="F441" i="1" s="1"/>
  <c r="F372" i="1"/>
  <c r="F437" i="1" s="1"/>
  <c r="F400" i="1"/>
  <c r="F439" i="1" s="1"/>
  <c r="F311" i="1"/>
  <c r="F435" i="1" s="1"/>
  <c r="F213" i="1" l="1"/>
  <c r="F203" i="1"/>
  <c r="F199" i="1"/>
  <c r="F195" i="1"/>
  <c r="F193" i="1"/>
  <c r="F221" i="1"/>
  <c r="F217" i="1"/>
  <c r="F211" i="1"/>
  <c r="F118" i="1"/>
  <c r="F184" i="1"/>
  <c r="F178" i="1"/>
  <c r="F174" i="1"/>
  <c r="F168" i="1"/>
  <c r="F126" i="1"/>
  <c r="F124" i="1"/>
  <c r="F116" i="1"/>
  <c r="F114" i="1"/>
  <c r="F70" i="1"/>
  <c r="F158" i="1"/>
  <c r="F154" i="1"/>
  <c r="F150" i="1"/>
  <c r="F146" i="1"/>
  <c r="F140" i="1"/>
  <c r="F138" i="1"/>
  <c r="F132" i="1"/>
  <c r="F130" i="1"/>
  <c r="F112" i="1"/>
  <c r="F110" i="1"/>
  <c r="F108" i="1"/>
  <c r="F106" i="1"/>
  <c r="F102" i="1"/>
  <c r="F96" i="1"/>
  <c r="F94" i="1"/>
  <c r="F90" i="1"/>
  <c r="F88" i="1"/>
  <c r="F86" i="1"/>
  <c r="F84" i="1"/>
  <c r="F82" i="1"/>
  <c r="F80" i="1"/>
  <c r="F78" i="1"/>
  <c r="F76" i="1"/>
  <c r="F74" i="1"/>
  <c r="F72" i="1"/>
  <c r="F68" i="1"/>
  <c r="F223" i="1" l="1"/>
  <c r="F205" i="1"/>
  <c r="F429" i="1" s="1"/>
  <c r="F187" i="1"/>
  <c r="F427" i="1" s="1"/>
  <c r="F160" i="1"/>
  <c r="F425" i="1" s="1"/>
  <c r="F233" i="1" l="1"/>
  <c r="F63" i="1"/>
  <c r="F237" i="1" l="1"/>
  <c r="F235" i="1"/>
  <c r="F229" i="1"/>
  <c r="F50" i="1"/>
  <c r="F48" i="1"/>
  <c r="F231" i="1" l="1"/>
  <c r="F52" i="1"/>
  <c r="F1072" i="1" s="1"/>
  <c r="F431" i="1" l="1"/>
  <c r="F259" i="1"/>
  <c r="F433" i="1" l="1"/>
  <c r="F443" i="1" s="1"/>
  <c r="F1074" i="1" s="1"/>
  <c r="F1086" i="1" s="1"/>
</calcChain>
</file>

<file path=xl/sharedStrings.xml><?xml version="1.0" encoding="utf-8"?>
<sst xmlns="http://schemas.openxmlformats.org/spreadsheetml/2006/main" count="1151" uniqueCount="535">
  <si>
    <t>ITEM NO</t>
  </si>
  <si>
    <t>DESCRIPTION</t>
  </si>
  <si>
    <t>UNIT</t>
  </si>
  <si>
    <t>QTY</t>
  </si>
  <si>
    <t>RATE</t>
  </si>
  <si>
    <t>AMOUNT</t>
  </si>
  <si>
    <t xml:space="preserve">General Preambles </t>
  </si>
  <si>
    <t>The following specifications must be taken into consideration in cases were they may not be indicated:</t>
  </si>
  <si>
    <t>i</t>
  </si>
  <si>
    <t>A contractor shall farmilirise himself with the works as no claims, due to fairlure to understand the scope of works shall be accepted</t>
  </si>
  <si>
    <t>ii</t>
  </si>
  <si>
    <t>Contractor shall allow in his rates the price of materials, transportation, plant, equipment, personel and any other services required during execution of works</t>
  </si>
  <si>
    <t>iii</t>
  </si>
  <si>
    <t xml:space="preserve">All rates must include the supply and installation of new items/materials </t>
  </si>
  <si>
    <t>iv</t>
  </si>
  <si>
    <t xml:space="preserve">Where there is a discrepancy between the drawings and BOQ, consult the Engineer or other authorised client's site representative </t>
  </si>
  <si>
    <t>v</t>
  </si>
  <si>
    <t xml:space="preserve">The net quantities in the BOQ shall not be used for the purpose of ordering materials. All measurments must be confirmed prior to to procurment of materials </t>
  </si>
  <si>
    <t>vi</t>
  </si>
  <si>
    <t>Samples of materials to be availed to the Engineer for approval prior to procurment; floor and wall tiles, doors, mortice lockes, bulb holders, etc.</t>
  </si>
  <si>
    <t>vii</t>
  </si>
  <si>
    <t xml:space="preserve">Contractor shall provide signs and safety barrier tapes to be erected at site and to ensure good houskeeping at all times </t>
  </si>
  <si>
    <t>viii</t>
  </si>
  <si>
    <t xml:space="preserve">The contractor shall provide all required PPE i.e helments, gloves, safety boots, eye goggles,dust mus, work suite, etc. for his workmanship </t>
  </si>
  <si>
    <t>ix</t>
  </si>
  <si>
    <t xml:space="preserve">The contractor will be held responsible for any loss or damage of existing works </t>
  </si>
  <si>
    <t>x</t>
  </si>
  <si>
    <t>xi</t>
  </si>
  <si>
    <t xml:space="preserve">During the execution of works, site security will be the responsibility of the contractor </t>
  </si>
  <si>
    <t>xii</t>
  </si>
  <si>
    <t>xiii</t>
  </si>
  <si>
    <t xml:space="preserve">The contractor is to make good disturbed works by all trades before handover </t>
  </si>
  <si>
    <t>xiv</t>
  </si>
  <si>
    <t>Unless indicated , a Contractor shall supply all materials, labour and equipment</t>
  </si>
  <si>
    <t>The Contractor is to carfully read and understand the scope/BOQ as any cost that will arise from failure to understand the scope will fall on the contractor</t>
  </si>
  <si>
    <t xml:space="preserve">PRELIMINARY AND GENERAL ITEMS </t>
  </si>
  <si>
    <t>A</t>
  </si>
  <si>
    <t xml:space="preserve">Allow for mobilization labour, materials and equipment </t>
  </si>
  <si>
    <t>Item</t>
  </si>
  <si>
    <t>B</t>
  </si>
  <si>
    <t>C</t>
  </si>
  <si>
    <t xml:space="preserve">Allow for demobilisation,cleaning the site and dispose of rubble </t>
  </si>
  <si>
    <t>PRELIMINARY AND GENERAL ITEMS - TOTAL TO SUMMARY</t>
  </si>
  <si>
    <t>ZMW</t>
  </si>
  <si>
    <t>D</t>
  </si>
  <si>
    <t>Scarify and compact reduced ground level to minimum 93% MODASHTOO including all necessary watering as per engineers specification</t>
  </si>
  <si>
    <t>E</t>
  </si>
  <si>
    <t>Imported Filling to make up levels, including hauling from supplier/pit, haulage to site and compacting to engineers approval</t>
  </si>
  <si>
    <t>F</t>
  </si>
  <si>
    <t>Imported laterite filling to make up levels, well compacted  in layers of 150mm and watered to 95% A.A.S.H.T.O</t>
  </si>
  <si>
    <t>G</t>
  </si>
  <si>
    <t>H</t>
  </si>
  <si>
    <t>m</t>
  </si>
  <si>
    <t>Quality Control</t>
  </si>
  <si>
    <t>Allow for carrying out concrete cube tests in 3 No. Per test to engineers approval and satisfaction</t>
  </si>
  <si>
    <t>I</t>
  </si>
  <si>
    <t>SITE CLEARANCE AND PREPARATION</t>
  </si>
  <si>
    <t>CONCRETE WORKS</t>
  </si>
  <si>
    <t>The following in Vibrated reinforced in-situ concrete class 30 by approved reputable concrete supplier or equal to engineers specification</t>
  </si>
  <si>
    <t>Formwork</t>
  </si>
  <si>
    <t>K</t>
  </si>
  <si>
    <t>No.</t>
  </si>
  <si>
    <t xml:space="preserve">BILL OF QUANTITIES </t>
  </si>
  <si>
    <t>FOR</t>
  </si>
  <si>
    <t xml:space="preserve">AT </t>
  </si>
  <si>
    <t>m²</t>
  </si>
  <si>
    <t>m³</t>
  </si>
  <si>
    <t>Reinforcement</t>
  </si>
  <si>
    <t>Steel Reinforcement steel cut to lengths,bent, cranked, hooked, tying wire ,distance blocks and ordinary spacers</t>
  </si>
  <si>
    <t>kg</t>
  </si>
  <si>
    <t>J</t>
  </si>
  <si>
    <t>BILL No. 3</t>
  </si>
  <si>
    <t>NAKAMBALA</t>
  </si>
  <si>
    <t xml:space="preserve">Before handover, the contractor must clean up and dump the waste/debris to disgnated dump site; provisionally 8 km away </t>
  </si>
  <si>
    <t>MEASURED WORKS</t>
  </si>
  <si>
    <t>SUBSTRUCTURE</t>
  </si>
  <si>
    <t>Preambles</t>
  </si>
  <si>
    <t>(i)</t>
  </si>
  <si>
    <t>Scope of Work in the substructure section includes work in all trades in foundations upto the top of the ground floor slab.</t>
  </si>
  <si>
    <t>Site Preparations</t>
  </si>
  <si>
    <t>Clear site of works of shrubs, bush and small trees not exceeding 600 mm girth, grub up roots and burn debris</t>
  </si>
  <si>
    <t>Excavate oversite average 150 mm deep to remove top soil soil and wheel, spread and level on site where directed</t>
  </si>
  <si>
    <t>Excavate in "pickable material" as described for foundation trenches not exceeding 1.50m deep starting at stripped level,get out and deposit in temporary spoil heaps on site where directed</t>
  </si>
  <si>
    <t>Ditto, for column bases trenches not exceeding 1.5mm deep ditto.</t>
  </si>
  <si>
    <t>Ditto, for service pits trenches not exceeding 1.5mm deep ditto.</t>
  </si>
  <si>
    <t>Extra-over excavations for excavating in rock as described</t>
  </si>
  <si>
    <t>Compacting and levelling of trench bottom</t>
  </si>
  <si>
    <t>Treat the surfaces of hardcore filling, sides and bottoms of excavations with approved environmentally friendly antproofing treatment as described</t>
  </si>
  <si>
    <t>Destroy termites nests within site of works , take out and destroy queens, impregnate holes and tunnels with insecticide and fill voids with approved material</t>
  </si>
  <si>
    <t>Allow for keeping excavations free from general water, by pumping or any other suitable means necessary and for cleaning the bottoms of the excavations prior to concreting</t>
  </si>
  <si>
    <t>L</t>
  </si>
  <si>
    <t>Load and transport surplus excavated materials to an authorized disposal site.</t>
  </si>
  <si>
    <t xml:space="preserve">Hardcore and the like filling </t>
  </si>
  <si>
    <t>M</t>
  </si>
  <si>
    <t>Filling under floors with approved imported laterite, well and compacted in maximum 150mm layers to make up levels</t>
  </si>
  <si>
    <t>N</t>
  </si>
  <si>
    <t>O</t>
  </si>
  <si>
    <t xml:space="preserve">500 Gauge polythene sheet as damp proof membrane laid of walls etc. (measured net-no allowance made for laps) laterite bed, including dressing to sinkings, across tops  horizontal with 300mm end and side laps laid on </t>
  </si>
  <si>
    <t>Concrete</t>
  </si>
  <si>
    <t>Plain in-situ concrete (Grade 15) as described</t>
  </si>
  <si>
    <t>P</t>
  </si>
  <si>
    <t xml:space="preserve">50mm Blinding in bases </t>
  </si>
  <si>
    <t>Vibrated Reinforced in-situ Concrete (Grade 30) as described</t>
  </si>
  <si>
    <t>Q</t>
  </si>
  <si>
    <t>In foundation in trenches</t>
  </si>
  <si>
    <t>R</t>
  </si>
  <si>
    <t>In bases to columns</t>
  </si>
  <si>
    <t>S</t>
  </si>
  <si>
    <t>In stub columns</t>
  </si>
  <si>
    <t>T</t>
  </si>
  <si>
    <t>U</t>
  </si>
  <si>
    <t>V</t>
  </si>
  <si>
    <t>W</t>
  </si>
  <si>
    <t>Ditto in Ramp</t>
  </si>
  <si>
    <t>X</t>
  </si>
  <si>
    <t>Y</t>
  </si>
  <si>
    <t>Y12mm diameter bars and above in bases and columns</t>
  </si>
  <si>
    <t>Z</t>
  </si>
  <si>
    <t>R10mm diameter link bars in stub columns</t>
  </si>
  <si>
    <t>Cornforce or other equal and approved steel fabric including all necessary bends, tying wire and distance blocks</t>
  </si>
  <si>
    <t>AA</t>
  </si>
  <si>
    <t>Mesh type 257 (2.57Kg/m²) lapped a minimum of 300mm at and ends and tied with 16 gauge annealed wire embedded in surface beds (measured net-no allowance made for laps)</t>
  </si>
  <si>
    <t>AB</t>
  </si>
  <si>
    <t>Ditto in strip foundation</t>
  </si>
  <si>
    <t>Sawn formwork as described</t>
  </si>
  <si>
    <t>AC</t>
  </si>
  <si>
    <t>To vertical sides of stub columns</t>
  </si>
  <si>
    <t>AD</t>
  </si>
  <si>
    <t>To edges of surface beds not exceeding 100mm wide</t>
  </si>
  <si>
    <t>Anchors</t>
  </si>
  <si>
    <t>AE</t>
  </si>
  <si>
    <t>M20 Holding down bolts, 600mm long, grade 4.6 complete  with nuts and 350 x 120 x 12mm thick washer plates</t>
  </si>
  <si>
    <t>BRICKWORK AND BLOCKWORK</t>
  </si>
  <si>
    <t>Hollow concrete blockwork in cement mortar as described with and including cores filled with weak concrete (Grade 15)</t>
  </si>
  <si>
    <t>AF</t>
  </si>
  <si>
    <t xml:space="preserve">200mm Walls in foundations </t>
  </si>
  <si>
    <t>Sundries</t>
  </si>
  <si>
    <t>Brickforce or other equal and approved brick reinforcement 200mm walls built into horizontal joints of blockwork</t>
  </si>
  <si>
    <t>One Coat External Plastering as described</t>
  </si>
  <si>
    <t>On concrete, brickwork or block plinth walls</t>
  </si>
  <si>
    <t>Prepare and Apply Three Coats or Black Bitumastic paint as described on the following surfaces</t>
  </si>
  <si>
    <t>Plastered plinth walls externally</t>
  </si>
  <si>
    <t>Kg</t>
  </si>
  <si>
    <t>Backfilling in layers not exceeding 100mm thick around foundations with selected materials arising from excavations</t>
  </si>
  <si>
    <t xml:space="preserve">In 150mm thick service duct drains bottom and walls </t>
  </si>
  <si>
    <t>200mm Thick surface bed laid level on damp proof membrane (measured separately)</t>
  </si>
  <si>
    <t>SUPERSTRUCTURE WORK</t>
  </si>
  <si>
    <t>Vibrated Reinforced in-situ concrete (Grade 30) as described</t>
  </si>
  <si>
    <t>In beams and lintels</t>
  </si>
  <si>
    <t>Mild Steel Rod Reinforcement as described including bends, hooks, tying wire, distance blocks and ordinary spacers</t>
  </si>
  <si>
    <t>8mm Diameter rods in beams</t>
  </si>
  <si>
    <t>High tensile steel bar reinforcement as described including bends, hookes, tying wire, distance blocks and ordinary spacers</t>
  </si>
  <si>
    <t>12mm and above Diameter bars in beams/lintels and steps</t>
  </si>
  <si>
    <t>To sides and soffits of horizontal beams and lintels</t>
  </si>
  <si>
    <t xml:space="preserve">   m³</t>
  </si>
  <si>
    <t xml:space="preserve">   Kg</t>
  </si>
  <si>
    <t>Blockwork in Hollow Concrete Blocks in composition mortar as described</t>
  </si>
  <si>
    <t>200mm Wall</t>
  </si>
  <si>
    <t>"Brickforce" or other equal and approved brick reinforcement to suit 150mm walls built into horizontal joints to blockwork</t>
  </si>
  <si>
    <t>Damp Proof Course</t>
  </si>
  <si>
    <t>Three-ply bituminous felt damp-proof courses 150mm Wide, laid horizontal and bedded in cement and sand (1:3) mortar as described, with minimum 150mm laps (measured net-no allowance made for laps)</t>
  </si>
  <si>
    <t>BLOCKWORK TOTAL CARRIED TO COLLECTION SUMMARY</t>
  </si>
  <si>
    <t>CONCRETE WORK TOTAL CARRIED TO COLLECTION SUMMARY</t>
  </si>
  <si>
    <t>SUBSTRUCTURE TOTAL CARRIED TO COLLECTION SUMMARY</t>
  </si>
  <si>
    <t>Ditto in container plinths</t>
  </si>
  <si>
    <t>Ditto in beam filling</t>
  </si>
  <si>
    <t>ROOFING</t>
  </si>
  <si>
    <t>IBR colour coated "Chromadek green colour" roof sheeting  0.5mm gauge or other equal approved profiled steel sheeting fixed in  strict accordance with roof manufactures instruction.</t>
  </si>
  <si>
    <t xml:space="preserve">   A</t>
  </si>
  <si>
    <t>Ridge capping</t>
  </si>
  <si>
    <t>Translucent Roofing</t>
  </si>
  <si>
    <t>Supply and install 3.0m translucent roofing sheets of IBR profile and fixed in position as per site instructions</t>
  </si>
  <si>
    <t>Sisalation Roofing Foil</t>
  </si>
  <si>
    <t>Supply and install Sisalation 405 light grammage, durable, double sided reflective foil laminate incorporating layers of aluminium foil, high strength kraft paper and reinforcing scrim bonded together with a binder</t>
  </si>
  <si>
    <t>ROOFING WORK TOTAL CARRIED TO COLLECTION SUMMARY</t>
  </si>
  <si>
    <t>PRELIMINARY AND GENERAL ITEMS</t>
  </si>
  <si>
    <t xml:space="preserve">Roof covering fixed to steel purlins </t>
  </si>
  <si>
    <t>STRUCTURAL STEEL WORK</t>
  </si>
  <si>
    <t>254 x 146 x 37kg/m UB in columns</t>
  </si>
  <si>
    <t>125 x 65 x 20 x 2.0 cold formed lipped channel (CFLC) purlins not exceeding 10kg</t>
  </si>
  <si>
    <t>16mm thick base plates</t>
  </si>
  <si>
    <t>100 x 65 x 6mm Angle cleat</t>
  </si>
  <si>
    <t xml:space="preserve">M16 bollts, grade 4.6 complete with nuts and washers </t>
  </si>
  <si>
    <t xml:space="preserve">M20 bollts, grade 4.6 complete with nuts and washers </t>
  </si>
  <si>
    <t>Painting</t>
  </si>
  <si>
    <t>Touch up priming coat, prepare and apply one undercoat and two hardglos finishing coats as described internally or externally on the following metalwork</t>
  </si>
  <si>
    <t>Surfaces of steelwork</t>
  </si>
  <si>
    <t>254 x 146 x 37kg/m UB in rafters and hunches</t>
  </si>
  <si>
    <t>89mm diameter x 3mm thick tie beams</t>
  </si>
  <si>
    <t>60 x 60 x 6mm RSA in truss, bracing and cross bracing not exceeding 10kg per metre</t>
  </si>
  <si>
    <t>12mm thick End plates</t>
  </si>
  <si>
    <t>STRUCTURAL STEEL WORKS TO COLLECTION SUMMARY</t>
  </si>
  <si>
    <t>METAL WORK</t>
  </si>
  <si>
    <t>The following in structural steel shop welded and site,  bolted painted one coat red lead oxide primer before erection and including touching up primer and adding one coat red oxide primer after erection all as per details shown on the engineers drawings</t>
  </si>
  <si>
    <t>Supply and fix complete the following purpose made 1.0mm gauge pressed metal 1.5M single rebated door frames and building in as described</t>
  </si>
  <si>
    <t>Steel  Door</t>
  </si>
  <si>
    <t>Steel Windows</t>
  </si>
  <si>
    <t>Platform, Staircase and Balastrading</t>
  </si>
  <si>
    <t>The following in handrailing and balustrading to 1No. Staircase in mild steel with welded connections ground smooth and primed before delivery to site.</t>
  </si>
  <si>
    <t>150 x 150 x 6mm thick end plate with and including 2No. Holes for 10mm diameter rawl bolts (measured separately)</t>
  </si>
  <si>
    <t>10mm diameter rawl bolts</t>
  </si>
  <si>
    <t>No</t>
  </si>
  <si>
    <t xml:space="preserve">Pressed metal 2M double rebated profile fixed metal standrad substation door frame complete with pair of double skin steel substation type doors size 2000 x 2950mm overall complete with fixed louvre panels and ironmongery. </t>
  </si>
  <si>
    <t>Window size 2000mm x 1000mm overall in steel frame complete with expanded wire and complete with furniture and fixing into position</t>
  </si>
  <si>
    <t>25NB ditto but sloping</t>
  </si>
  <si>
    <t>25NB pipe in horizontal handrailing with ends welded to vertical members (balusters)</t>
  </si>
  <si>
    <t>25NB pipe in middle horizontal railing with ends welded to vertical members (balusters)</t>
  </si>
  <si>
    <t>25NB raking elbow</t>
  </si>
  <si>
    <t>25NB bend</t>
  </si>
  <si>
    <t>60 x 60 x 6mm RSA in vertical baluster</t>
  </si>
  <si>
    <t>100 x 50mm Channel in support frame, bracing and cross bracing not exceeding 10kg per metre</t>
  </si>
  <si>
    <t xml:space="preserve">50 x 50 x 5mm in tread support, bracing and cross bracing </t>
  </si>
  <si>
    <t>Mantis Grating</t>
  </si>
  <si>
    <t>Supply and install mantis grating in stair treads and platiform</t>
  </si>
  <si>
    <t>Ditto on pipe duct</t>
  </si>
  <si>
    <t>Metal works with girth less than 100m diameter</t>
  </si>
  <si>
    <t>METAL WORKS TO COLLECTION SUMMARY</t>
  </si>
  <si>
    <t>ELECTRICAL INSTALLATIONS</t>
  </si>
  <si>
    <t>(PROVISSIONALS)</t>
  </si>
  <si>
    <t>DISTRIBUTION BOARDS AND THE LIKE</t>
  </si>
  <si>
    <t xml:space="preserve">Supply, install and set to work the following Surface Mounted distribution boards, as EML or the like </t>
  </si>
  <si>
    <t>Distribution Board (SMDB1) of approved size and manufacture comprising:-</t>
  </si>
  <si>
    <t>2 No. 80A 125 Ka TP MCB</t>
  </si>
  <si>
    <t>1 No. 80A TP</t>
  </si>
  <si>
    <t>2 No. Earth Bars</t>
  </si>
  <si>
    <t>Supply ditto</t>
  </si>
  <si>
    <t>4 Core x 16mm² PVC/SWA/PVC + 16mm² ECC cable and drawing in sleeve or duct</t>
  </si>
  <si>
    <t xml:space="preserve">1.5 sq. mm Cu/PVC cables Red </t>
  </si>
  <si>
    <t xml:space="preserve">1.5 sq. mm Cu/PVC cables Black </t>
  </si>
  <si>
    <t xml:space="preserve">2.5 sq. mm Cu/PVC cables Green </t>
  </si>
  <si>
    <t xml:space="preserve">2.5 sq. mm Cu/PVC cables Red </t>
  </si>
  <si>
    <t xml:space="preserve">2.5 sq. mm Cu/PVC cables Black </t>
  </si>
  <si>
    <t>LIGHT SUPPLY POINTS</t>
  </si>
  <si>
    <t>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t>
  </si>
  <si>
    <t>1 No. Ceiling mounted light point on one way wall switch</t>
  </si>
  <si>
    <t>Supply, install and set to work the following switches as manufactured by “MK”, 'LEGEND" or similar approved including all conduit, conduit, fittings, cable, cable connections and boxes as necessary</t>
  </si>
  <si>
    <t>Photocell complete with 25A by pass switch</t>
  </si>
  <si>
    <t>Supply and fix the following lighting, power and other fittings in accordance with Manufacturer’s</t>
  </si>
  <si>
    <t>1 x 250W LED pendulant fitting ceiling mounted</t>
  </si>
  <si>
    <t>1 x 18WL, 1200mm Fluorenscent wall surface mounted LED Light</t>
  </si>
  <si>
    <t>Roll</t>
  </si>
  <si>
    <t xml:space="preserve">   No.</t>
  </si>
  <si>
    <t>ELECTRICAL INSTALLATION WORK TOTAL CARRIED TO COLLECTION SUMMARY</t>
  </si>
  <si>
    <t>1 No. 32A</t>
  </si>
  <si>
    <t xml:space="preserve">2 No. 16A </t>
  </si>
  <si>
    <t>1 No. 20A</t>
  </si>
  <si>
    <t>6 No. Ceiling mounted light point on one way wall switch</t>
  </si>
  <si>
    <t>Distribution Boards and the like</t>
  </si>
  <si>
    <t>Cables</t>
  </si>
  <si>
    <t>Light Supply Points</t>
  </si>
  <si>
    <t>Switches and the like</t>
  </si>
  <si>
    <t>10A One gang, two-way wall switch</t>
  </si>
  <si>
    <t>Power Points</t>
  </si>
  <si>
    <t>Light Fittings and the like</t>
  </si>
  <si>
    <t>FINISHING AND DECORATION</t>
  </si>
  <si>
    <t>In-Situ Finishings</t>
  </si>
  <si>
    <t>Cement and sand floors and paving as described</t>
  </si>
  <si>
    <t>40mm Paving  laid level on concrete bed by power floating and including Epoxy coating finish and the like to surface</t>
  </si>
  <si>
    <t>100 x 25mm skirting with square top edge and cove at junction with paving</t>
  </si>
  <si>
    <t>Wall Finishings</t>
  </si>
  <si>
    <t>13mm Thick internal plastering as described with steel float finish</t>
  </si>
  <si>
    <t>To concrete, brickwork or blockwork walls</t>
  </si>
  <si>
    <t>To reveal or return not exceeding 100mm wide</t>
  </si>
  <si>
    <t>13mm Thick exterrnal plastering as described with wood float finish</t>
  </si>
  <si>
    <t>Beds and Backings</t>
  </si>
  <si>
    <t>Cement and sand (1:3) screed as described</t>
  </si>
  <si>
    <t>FINISHING WORK TOTAL CARRIED TO COLLECTION SUMMARY</t>
  </si>
  <si>
    <t>PAINTING WORKS</t>
  </si>
  <si>
    <t>Prepare and apply One coat plaster primer and Two coats Aclylic on the following surfaces</t>
  </si>
  <si>
    <t>Plastered walls, internally</t>
  </si>
  <si>
    <t>Plastered walls, externally</t>
  </si>
  <si>
    <t xml:space="preserve">Prime, prepare and apply one undercoat and two coats finishing gloss paint, to approval as described internally or externally on the following metalwork Surfaces </t>
  </si>
  <si>
    <t>Metal door surfaces</t>
  </si>
  <si>
    <t>Expanded mesh windows measured flat both sides</t>
  </si>
  <si>
    <t>GENERAL SUMMARY</t>
  </si>
  <si>
    <t>CONCRETE WORK</t>
  </si>
  <si>
    <t>BLOCKWORK</t>
  </si>
  <si>
    <t>ROOFING WORK</t>
  </si>
  <si>
    <t>ELECTRICAL WORK</t>
  </si>
  <si>
    <t>FINISHING WORK</t>
  </si>
  <si>
    <t>PAINTING WORK</t>
  </si>
  <si>
    <t>COLLECTION SUMMARY</t>
  </si>
  <si>
    <t>DRIP AND FILTER STATION BUILDING</t>
  </si>
  <si>
    <t>PAINTING WORK TOTAL CARRIED TO COLLECTION SUMMARY</t>
  </si>
  <si>
    <t xml:space="preserve">ITEM </t>
  </si>
  <si>
    <t>Excavation and Earthworks</t>
  </si>
  <si>
    <t>Excavate in "Pickable Material" as described for foundation trench starting at reduced level not exceeding 1.50m deep and get out.</t>
  </si>
  <si>
    <t>Return, fill in and well ram surplus excavated material around foundations as described</t>
  </si>
  <si>
    <t>Dispose of surplus excavated material by removing from site to the desgnated dumping site</t>
  </si>
  <si>
    <t>Anti-termite treatment</t>
  </si>
  <si>
    <t>Treat the surface of filling, sides and bottoms of excavations with ant-proofing treatment as described</t>
  </si>
  <si>
    <t>Disposal of water</t>
  </si>
  <si>
    <t>Include for keeping excavations free from rain, surface and percolating water, mud, and silt by pumping, bailing or other means and for clearing the bottom of all excavations prior to pouring concrete</t>
  </si>
  <si>
    <t>Compaction of Surfaces</t>
  </si>
  <si>
    <t>Compaction of ground in surfaces trenches etc, including scarifying for a depth of 150mm, breaking down oversize material, adding suitable material where necessary and compacting to 95% Mod AASHTO Density</t>
  </si>
  <si>
    <t>Planking and strutting</t>
  </si>
  <si>
    <t>Include for supporting the surfaces of all excavations with and including all necessary planking and strutting as directed</t>
  </si>
  <si>
    <t>Hardcore and the like filling</t>
  </si>
  <si>
    <t>Filing under floors with approved imported laterite, well rammed  and compacted in maximum 150mm layers to make up  to 98% Mod AASHTO to levels receive concrete surface bed</t>
  </si>
  <si>
    <t>Waterproofing Membrane</t>
  </si>
  <si>
    <t>1000 Gauge polythene sheet as damp proof membrane laid horizontal with 300mm end and side laps laid on laterite bed, including dressing to sinkings, across tops of walls etc.  (measured net-no allowance made for laps)</t>
  </si>
  <si>
    <t>Concrete Work</t>
  </si>
  <si>
    <t>Plain in-situ concrete (Grade 10) as described</t>
  </si>
  <si>
    <t>50mm thick in blinding</t>
  </si>
  <si>
    <t>Plain in-situ concrete (Grade 25) as described</t>
  </si>
  <si>
    <t>In foundation in trenches (200mm thick)</t>
  </si>
  <si>
    <t>Vibrated Reinforced in-situ Concrete (Grade 25) as described</t>
  </si>
  <si>
    <t>100mm thick surface bed laid level on damp proof membrane (measured separately)</t>
  </si>
  <si>
    <t>Reinfoncement</t>
  </si>
  <si>
    <t>"Conforce" or other equal steel fabric reinforcement including all necessary bends, tying wire and distance blocks</t>
  </si>
  <si>
    <t>Mesh type 257 (2.57 kg/m²) lapped a minimum of 300mm at sides and ends tied with 16 gauge annealed wire embedded in horizontal surface bed (measured net-no allowance made for laps)</t>
  </si>
  <si>
    <t>To edges of surface beds not exceeding 200mm wide</t>
  </si>
  <si>
    <t>Brickwork and Blockwork</t>
  </si>
  <si>
    <t>150mm thick blockwall in foundation (800mm high)</t>
  </si>
  <si>
    <t>"Brickforce" or other equal and approved brick reinforcement to  suit one  brick walls and building into horizontal joints of brickwork</t>
  </si>
  <si>
    <t>Vibrated Reinforced in-situ concrete (Grade 25) as Described</t>
  </si>
  <si>
    <t>In ring beam/lintels</t>
  </si>
  <si>
    <t>Mild Steel Rod and high tensile steel bar Reinforcement as described including bends, hooks, tying wire, distance blocks and ordinary spacers</t>
  </si>
  <si>
    <t>8mm Diametre and above</t>
  </si>
  <si>
    <t>To sides and soffits of beams/lintels</t>
  </si>
  <si>
    <t>Precast Concrete (Grade 25) as described</t>
  </si>
  <si>
    <t>Supply and installation of 300 x 100mm concrete cills</t>
  </si>
  <si>
    <t>Blockwork in Hollow Concrete Blocks in cement mortar (1:3) as described</t>
  </si>
  <si>
    <t xml:space="preserve">100mm Walls </t>
  </si>
  <si>
    <t xml:space="preserve">150mm Walls </t>
  </si>
  <si>
    <t>Three-ply bituminous felt damp-proof courses</t>
  </si>
  <si>
    <t>100mm Wide laid horizontally and bedded in cement and sand (1:3) mortar as described, with minimum 100mm laps (measured net-no allowance made for laps)</t>
  </si>
  <si>
    <t>150mm wide, ditto</t>
  </si>
  <si>
    <t>"Brickforce" reinforcement to suit 100mm walls built into horizontal joints of brickwork</t>
  </si>
  <si>
    <t>Ditto, 150mm wide, ditto</t>
  </si>
  <si>
    <t>Air-Vent</t>
  </si>
  <si>
    <t>IBR colour coated "Chromadek green colour" roof sheeting  0.5mm gauge or other equal approved profiled steel sheeting fixed in strict accordance with roof manufactures instruction.</t>
  </si>
  <si>
    <t>Roof covering fixed to steel purlins (measured separately)</t>
  </si>
  <si>
    <t>ROOFING WORK TOTAL CARRIED TO GENERAL SUMMARY</t>
  </si>
  <si>
    <t>CARPENTRY WORKS</t>
  </si>
  <si>
    <t>Roof trusses</t>
  </si>
  <si>
    <t>150mm x 50mm treated sawn wood timber in joists, rafters and king post of trusses</t>
  </si>
  <si>
    <t xml:space="preserve">75mm x 75mm treated timber in purlins </t>
  </si>
  <si>
    <t>100mm x 75mm treated sawn wood timber tied onto the building with GI wire as wall plate</t>
  </si>
  <si>
    <t xml:space="preserve">Quality Rosewood or Mukwa Hard door  as described </t>
  </si>
  <si>
    <t>45mm door size 825 x 1960mm and hanging on butts to metal door frame (measured separately)</t>
  </si>
  <si>
    <t xml:space="preserve">Internal quality core flush commercial door as described </t>
  </si>
  <si>
    <t>45mm door size 725 x 1960mm and hanging on butts to metal door frame (measured separately)</t>
  </si>
  <si>
    <t>Ironmongery</t>
  </si>
  <si>
    <t>Supply and fix the following approved ironmongery complete with martching screws to timber or alumnium door frames</t>
  </si>
  <si>
    <t>Three lever mortice lock</t>
  </si>
  <si>
    <t>Toilet/shower indicator bolt</t>
  </si>
  <si>
    <t>Hat and coat hook</t>
  </si>
  <si>
    <t>CARPENTRY, JOINERY AND IRONMONGERY WORK TOTAL CARRIED TO COLLECTION SUMMARY</t>
  </si>
  <si>
    <t>Door frames</t>
  </si>
  <si>
    <t>METAL WORK TOTAL CARRIED TO COLLECTION SUMMARY</t>
  </si>
  <si>
    <t>PLUMBING AND ENGINEERING INSTALLATIONS</t>
  </si>
  <si>
    <t xml:space="preserve">Wate Pipe </t>
  </si>
  <si>
    <t>uPVC waste pipes and fittings, jointing and fixing in accordance  with the manufacturer’s recommendations</t>
  </si>
  <si>
    <t xml:space="preserve">40mm Diameter waste pipe and fixing to wall </t>
  </si>
  <si>
    <t>110mm Diameter soil pipe fixed to brickwork with approved clips</t>
  </si>
  <si>
    <t>Extra over uPVC pipes for the following fittings</t>
  </si>
  <si>
    <t>40mm Diameter bend with cleaning eye</t>
  </si>
  <si>
    <t>40mm Diameter double branch</t>
  </si>
  <si>
    <t>40mm Diameter bend</t>
  </si>
  <si>
    <t>110mm Diameter Tee with access plate</t>
  </si>
  <si>
    <t>110mm Diameter plain bend</t>
  </si>
  <si>
    <t>110mm Diameter plain single branch</t>
  </si>
  <si>
    <t>110mm Diameter pan connector and joint to w.c. outlet</t>
  </si>
  <si>
    <t>Sanitary Appliances, Fittings and Ancillaries</t>
  </si>
  <si>
    <t>Glazed Vitreous "VAAL POTTERIES" low level w.c suite comprising  pan with 'P' trap matching white plastic double flap seat, flush valve complete with accessories and fittings, and screw pan to floor</t>
  </si>
  <si>
    <t>Glazed vitrous china "VAAL POTTERIES" wash hand basin, fixed and supported in vanity slab/granite inclusive complete with tap mixer "COBRA" or other equal approved</t>
  </si>
  <si>
    <t>Heavy duty shower tray including accessories to approval</t>
  </si>
  <si>
    <t xml:space="preserve">Stainless steel lockable toilet roll holder plugged to blockwork wall, to approval </t>
  </si>
  <si>
    <t>Shower mixer complete with pipe and shower rose</t>
  </si>
  <si>
    <t>Hot and Cold Water Installation</t>
  </si>
  <si>
    <t>GI cold and hot water pipes and fittings with caulked and screwed joints in the running lengths</t>
  </si>
  <si>
    <t>15mm Diameter pipe and fixed to blockwork with approved clips</t>
  </si>
  <si>
    <t xml:space="preserve">   m</t>
  </si>
  <si>
    <t>20mm Diameter ditto</t>
  </si>
  <si>
    <t>15mm Diameter bend</t>
  </si>
  <si>
    <t>20mm Diameter bend</t>
  </si>
  <si>
    <t>15mm Equal tee</t>
  </si>
  <si>
    <t>20 - 15mm Reducer</t>
  </si>
  <si>
    <t>Brasswork, Valves and Cocks as described</t>
  </si>
  <si>
    <t>15mm Diameter Copper connector, 300mm girth bent as required with joint to union of fitting and other galvanised mild steel pipe</t>
  </si>
  <si>
    <t>Flexable connector, 300mm girth bent as required with joint to union of fitting and other galvanised mild steel pipe</t>
  </si>
  <si>
    <t>15mm Diameter angle valve</t>
  </si>
  <si>
    <t>20mm Diameter isolation valve</t>
  </si>
  <si>
    <t>Pillar tap for wash hand basin</t>
  </si>
  <si>
    <t>PLUMBING AND ENGINEERING INSTALLATION WORK TOTAL CARRIED TO COLLECTION SUMMARY</t>
  </si>
  <si>
    <t>Main Distribution Board (MDB 4Way TPN) of approved size and manufacture comprising:-</t>
  </si>
  <si>
    <t>1 No. 60A TP</t>
  </si>
  <si>
    <t xml:space="preserve">1 No. 20A </t>
  </si>
  <si>
    <t>1No. 10A</t>
  </si>
  <si>
    <t>1 No. TP spare ways</t>
  </si>
  <si>
    <t>2 No. SP spare ways</t>
  </si>
  <si>
    <t>1 No. Earth Bars</t>
  </si>
  <si>
    <t xml:space="preserve">Surface mounted, plugged and screwed to walls and connecting to supply cables (measured separately) </t>
  </si>
  <si>
    <t>Supply, install and set to work the following light points including all surface mounted and cast-in , conduits, conduit fittings, cable and cable connections to connect the lamp holder at the light point to the distribution board (switches and fittings measured separately)</t>
  </si>
  <si>
    <t>3 No.  Ceiling mounted ditto</t>
  </si>
  <si>
    <t>2.5 sq. mm Cu/PVC cables Red for General Socket Outlets</t>
  </si>
  <si>
    <t>2.5 sq. mm Cu/PVC cables Black for General Socket Outlets</t>
  </si>
  <si>
    <t>2.5 sq. mm Cu/PVC cables Green for General Socket Outlets</t>
  </si>
  <si>
    <t>1.5 sq. mm Cu/PVC cables Red for General Socket Outlets</t>
  </si>
  <si>
    <t>1.5 sq. mm Cu/PVC cables Black for General Socket Outlets</t>
  </si>
  <si>
    <t>10a Two-gang, One way wall switch</t>
  </si>
  <si>
    <t>Supply, install, connect and set to work the following power points " Tropical" "Legrand" or equal approved</t>
  </si>
  <si>
    <t>13Amp double switch socket outlet wall mounted</t>
  </si>
  <si>
    <t>Light Fittings</t>
  </si>
  <si>
    <t>1 x 18W, 1200mm Fluorenscent ceiling surface mounted LED Light</t>
  </si>
  <si>
    <t>1 x WL, 1200mm weather proof Fluorenscent wall surface mounted LED Light</t>
  </si>
  <si>
    <t>FLOOR AND WALL FINISHINGS</t>
  </si>
  <si>
    <t>30mm Screed laid level on concrete to receive floor tiles</t>
  </si>
  <si>
    <t>Supply and fix new 600 x 600 x 10mm  Thick non slip full bodied porcelain tiles  (Grade A) including 100mm skirting and aluminium edge trimmer, fixed with approved adhesive to Manufacturer's specifications and pointed with grouting laid level on screeded bed (measured separately)</t>
  </si>
  <si>
    <t>Prepare floor surface for shower cubicle and install approved Mosaic floor tile</t>
  </si>
  <si>
    <t>15mm thick Internal and extenal plastering as described with steel float finish and wood float finish on surfaces to receive wall tiling</t>
  </si>
  <si>
    <t>To concrete, brickwork or blockwork walls and reveals</t>
  </si>
  <si>
    <t>Wall tiling</t>
  </si>
  <si>
    <t>Prepare wall surface and fix 200 xv300 x 6mm thick glazed ceremic wall tiles including 100/150mm dado of approved mosaic tiles all round, fixed with approved tile adhesive and pointed with coloured grout</t>
  </si>
  <si>
    <t>FLOOR AND WALL FINISHING TOTAL CARRIED TO COLLECTION SUMMARY</t>
  </si>
  <si>
    <t>Painting and Decorating</t>
  </si>
  <si>
    <t>Prepare and apply "Plascon paint" One coat plaster primer and Two coats Wall &amp; all paint on the following surfaces</t>
  </si>
  <si>
    <t>Prepare and Apply two coats of gloss paint to or approved paint as described on the following surfaces</t>
  </si>
  <si>
    <t>Metal door frame</t>
  </si>
  <si>
    <t>Flush doors</t>
  </si>
  <si>
    <t>BLOCK WORKS</t>
  </si>
  <si>
    <t>CARPENTRY</t>
  </si>
  <si>
    <t>METAL WORKS</t>
  </si>
  <si>
    <t>PLUMBING WORKS</t>
  </si>
  <si>
    <t>ELECTRICAL WORKS</t>
  </si>
  <si>
    <t>FINISHING WORKS</t>
  </si>
  <si>
    <r>
      <t>Extra over</t>
    </r>
    <r>
      <rPr>
        <sz val="11"/>
        <rFont val="Century Gothic"/>
        <family val="2"/>
      </rPr>
      <t xml:space="preserve"> excavations in "Pickable Material" irrespective of depth for breaking up rock as described</t>
    </r>
  </si>
  <si>
    <r>
      <t>Pair</t>
    </r>
    <r>
      <rPr>
        <sz val="11"/>
        <rFont val="Century Gothic"/>
        <family val="2"/>
      </rPr>
      <t xml:space="preserve"> of 200 x 200mm air brick with insect proof guage backing</t>
    </r>
  </si>
  <si>
    <t>BILL No.6</t>
  </si>
  <si>
    <t>SEPTIC TANK</t>
  </si>
  <si>
    <t>Excavate in "pickable material" starting at ground level for septic tank not exceeding 1.50mm deep and get out</t>
  </si>
  <si>
    <t>Ditto over 1.50m not exceeding 3.00 metres deep</t>
  </si>
  <si>
    <t>Dispose of surplus excavated material by removing  from site</t>
  </si>
  <si>
    <t>Backfilling around septic tank</t>
  </si>
  <si>
    <t>200mm Thick plain in-situ concrete (Grade 25) bottom  to manhole</t>
  </si>
  <si>
    <t>Plain in-situ concrete (Grade 15) as described 150mm (Average) benching size 600 x 600mm in bottom of manhole finished as described with 10mm thick cement mortar (1:3)</t>
  </si>
  <si>
    <t>Reinforced in-situ concrete (Grade 25) as described 200mm  base to septic tank</t>
  </si>
  <si>
    <t xml:space="preserve">Ditto in 150mm suspended septic tank cover slab </t>
  </si>
  <si>
    <t>10mm Diameter high yield mild steel reinforcement including bends, hooks, distance blocks and ordinary spacers</t>
  </si>
  <si>
    <t>Layer of "Conforce 86" or other equal and approved steel fabric reinforcement, properly lapped, tied with annealed tying wire and embedding in tank floor slab (measured net - no allowance made for laps)</t>
  </si>
  <si>
    <t>Sawn formwork to soffit of suspended cover slab and withdrawing from confined space</t>
  </si>
  <si>
    <t>Ditto to edge of suspended cover slab not exceeding 100mm high</t>
  </si>
  <si>
    <t>Ditto to form 50 x 50mm rebate</t>
  </si>
  <si>
    <t>200mm Thick hollow concrete blockwork in cement mortar as  described with cores filled with weak concrete</t>
  </si>
  <si>
    <t>Build in end of 150mm diameter pipe into one brick sides ofseptic tank and make good render one side</t>
  </si>
  <si>
    <t>Brickforce or other approved brick reinforcement and building into horizontal joints of brickwork</t>
  </si>
  <si>
    <t>150mm Diameter uPVC pipe T-junction including building one end into brickwork</t>
  </si>
  <si>
    <t>450 x 600mm Single seal heavy duty manhole cover and frame to B.S. 497 including bedding frame in rebate of concrete slab and haunching around in cement mortar and sealing cover in grease and sand</t>
  </si>
  <si>
    <t>150mm Diameter half round section uPVC straight main channel 600mm long and bedding and pointing in cement mortar as described to falls in bottom of manhole including dressing to drain pipe</t>
  </si>
  <si>
    <t>One coat rendering as described to brickwork walls internally or externally, trowelled hard and smooth</t>
  </si>
  <si>
    <r>
      <t xml:space="preserve">Extra over excavations in "Pickable Material" irrespective of depth for breaking up </t>
    </r>
    <r>
      <rPr>
        <u/>
        <sz val="11"/>
        <rFont val="Century Gothic"/>
        <family val="2"/>
      </rPr>
      <t>rock</t>
    </r>
    <r>
      <rPr>
        <sz val="11"/>
        <rFont val="Century Gothic"/>
        <family val="2"/>
      </rPr>
      <t xml:space="preserve"> as described</t>
    </r>
  </si>
  <si>
    <t>Excavate in "pickable material" starting at ground level forsoakaway not exceeding 1.50mm deep and get out</t>
  </si>
  <si>
    <t>Ditto exceeding 1.50m but not exceeding 3.0m deep</t>
  </si>
  <si>
    <t>Dispose of surplus excavated material away from site</t>
  </si>
  <si>
    <t>Backfilling excavated to top of soakaway</t>
  </si>
  <si>
    <t>Rockfilling with 80 - 200mm diameter natural rocks in soakaway</t>
  </si>
  <si>
    <t>Reinforced in-situ concrete (Grade 25) as described 200mm in soakaway base</t>
  </si>
  <si>
    <t>Precast concrete (Grade 25) as described 150mm cover slab with and including three layers of "conforce" steel fabric reinforcement or other approved complete with rebated aperture having clear opening size 610 x 457mm including bedding in cement mortar</t>
  </si>
  <si>
    <t>One brick wall in concrete bricks in cement mortar as described</t>
  </si>
  <si>
    <t>Ditto, built honey comb</t>
  </si>
  <si>
    <t>Build in end of 100mm diameter pipe into one brick side of  soakawy and make good render one side</t>
  </si>
  <si>
    <t>Layer of polyprolene wooven sheet sheet covering to top of rock fill</t>
  </si>
  <si>
    <t>150mm Diameter uPVC  drain pipe laid and jointed in trenches as described</t>
  </si>
  <si>
    <t>150mm Diameter uPVC pipe with perforated holes in its running length and laid in soakaway</t>
  </si>
  <si>
    <t>SOIL DRAINAGE</t>
  </si>
  <si>
    <t>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t>
  </si>
  <si>
    <t>Extra over excavations irrespective of depth for breaking up rock as described (PROVISIONAL)</t>
  </si>
  <si>
    <t>Plain in-situ concrete (Grade 20) as described in 150mm thick bed and haunching to 200mm diameter pipes in trenches including all necessary formwork</t>
  </si>
  <si>
    <t>150mm Diameter heavy duty PVC drain pipe laid and jointed in trenches as described</t>
  </si>
  <si>
    <t xml:space="preserve"> 200mm Diameter heavy duty PVC drain pipe sleeve ditto</t>
  </si>
  <si>
    <t>GULLEYS</t>
  </si>
  <si>
    <t>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t>
  </si>
  <si>
    <t>SOAKWAY</t>
  </si>
  <si>
    <t>BILL No. 1</t>
  </si>
  <si>
    <t>BILL No. 2</t>
  </si>
  <si>
    <t>Supply, install and set to work the following power points including conduits, conduit fittings, cable and cable connections to connect the power point to the distribution board as manufactured by MK or LEGRAND' other equal and approved</t>
  </si>
  <si>
    <t>13 Amp double switch socket outlet wall mounted</t>
  </si>
  <si>
    <t>TOILET AND SHOWER</t>
  </si>
  <si>
    <t>Supply and install 1.0mm steel door frame size 800 x 2000mm and fixing in block wall</t>
  </si>
  <si>
    <t>Supply and install 1.5mm steel door frame size 900 x 2000mm and fixing in block wall</t>
  </si>
  <si>
    <t xml:space="preserve">Supply, fabricate and install steel windows sections complete with iron mongery and fixed in position in walls. </t>
  </si>
  <si>
    <t>Window size 600 x 600mm overall</t>
  </si>
  <si>
    <t>Window size 1200 x 600mm overall</t>
  </si>
  <si>
    <t>External and Internal plastered walls</t>
  </si>
  <si>
    <t>TOILET AND SHOWER COLLECTION SUMMARY</t>
  </si>
  <si>
    <t>BILL No.4</t>
  </si>
  <si>
    <t>Allow  for  construction of manholes including exacavation and backfilling  complete with steel manhole covers and drain pipe connection</t>
  </si>
  <si>
    <t>BILL No.5</t>
  </si>
  <si>
    <t>SOAKAWAY</t>
  </si>
  <si>
    <t>Pipework in trenches</t>
  </si>
  <si>
    <t>BILL No. 5: CARRIED TO GENERAL SUMMARY</t>
  </si>
  <si>
    <t>BILL No. 4: CARRIED TO GENERAL SUMMARY</t>
  </si>
  <si>
    <t>BILL No. 3: CARRIED TO GENERAL SUMMARY</t>
  </si>
  <si>
    <t>SUMMARY</t>
  </si>
  <si>
    <t>BILL No.7</t>
  </si>
  <si>
    <t>TANK STAND</t>
  </si>
  <si>
    <t>Excavation Works</t>
  </si>
  <si>
    <t>Excavate for raft foundation trenches/pit average depth 600mm starting at stripped level,get out and deposit in temporary spoil heaps on site where directed</t>
  </si>
  <si>
    <t>Preparation of embarkement walls and ground to make up levels</t>
  </si>
  <si>
    <t>Disposal of Non reusable Material</t>
  </si>
  <si>
    <t>Re-dig from spoil heap and remove off-site.</t>
  </si>
  <si>
    <t>Disposal of Water</t>
  </si>
  <si>
    <t>Blinding</t>
  </si>
  <si>
    <t xml:space="preserve">In bases </t>
  </si>
  <si>
    <t>In stub comlumns</t>
  </si>
  <si>
    <t>To verical sides of stub columns</t>
  </si>
  <si>
    <t>Reinforcements</t>
  </si>
  <si>
    <t>Y12 single layer Steel reinforcement spaced at 200c/c to base  joined with tying wire. In bases</t>
  </si>
  <si>
    <t>Y20 main bars Steel reinforcement spaced at 200c/c in stub columns</t>
  </si>
  <si>
    <t>SITE CLEARANCE AND PREPARATION TO COLLECTION SUMMARY</t>
  </si>
  <si>
    <t>CONCRETE WORKS TO COLLECTION SUMMARY</t>
  </si>
  <si>
    <t>BILL No 6: CARRIED TO GENERAL SUMMARY</t>
  </si>
  <si>
    <t>BILL NO 2: CARRIED TO GENERAL SUMMARY</t>
  </si>
  <si>
    <t xml:space="preserve">BILL No. 1 PRELIMINARY AND GENERAL ITEMS </t>
  </si>
  <si>
    <t>BILL No. 2 DRIP AND FILTER STATION BUILDING</t>
  </si>
  <si>
    <t>BILL No. 3 TOILET AND SHOWER</t>
  </si>
  <si>
    <t>BILL No. 4 SEPTIC TANK</t>
  </si>
  <si>
    <t>BILL No. 5 SOAKWAY</t>
  </si>
  <si>
    <t>BILL No. 6 SOIL DRAINAGE</t>
  </si>
  <si>
    <t>BILL No. 7 TANK STAND</t>
  </si>
  <si>
    <t>70 x 70 x 6mm RSA in columns not exceeding 10kg per metre</t>
  </si>
  <si>
    <t>70 x 70 x 6mm RSA in truss, bracing and cross bracing not exceeding 10kg per metre</t>
  </si>
  <si>
    <t>70 x 70 x 6mm RSA in platform support frame not exceeding 10kg per metre</t>
  </si>
  <si>
    <t>50 x 8mm flat bars in cat ladder</t>
  </si>
  <si>
    <t>6mm thick mild steel plate in platform</t>
  </si>
  <si>
    <t>6mm thick mild steel plate in cleats</t>
  </si>
  <si>
    <t>Supply and install mantis grating in platform</t>
  </si>
  <si>
    <t xml:space="preserve">M12 bollts, grade 4.6 complete with nuts and washers </t>
  </si>
  <si>
    <t>Water Tank</t>
  </si>
  <si>
    <t xml:space="preserve">Supply and install 5000litres ROTO or equal and approved plastic water tank </t>
  </si>
  <si>
    <t xml:space="preserve">No. </t>
  </si>
  <si>
    <t>TOTAL      (VAT EXCLUSIVE)</t>
  </si>
  <si>
    <t>PROPOSED DRIP AND FILTER STATION (PHASE 4)</t>
  </si>
  <si>
    <t>DRIP AND FILTER STATION PHASE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</si>
</sst>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0.0"/>
    <numFmt numFmtId="166" formatCode="_-* #,##0_-;\-* #,##0_-;_-* &quot;-&quot;??_-;_-@_-"/>
  </numFmts>
  <fonts count="16" x14ac:knownFonts="1">
    <font>
      <sz val="11"/>
      <color theme="1"/>
      <name val="Calibri"/>
      <family val="2"/>
      <scheme val="minor"/>
    </font>
    <font>
      <sz val="11"/>
      <color theme="1"/>
      <name val="Calibri"/>
      <family val="2"/>
      <scheme val="minor"/>
    </font>
    <font>
      <sz val="10"/>
      <name val="Arial"/>
      <family val="2"/>
    </font>
    <font>
      <b/>
      <sz val="11"/>
      <name val="Century Gothic"/>
      <family val="2"/>
    </font>
    <font>
      <sz val="11"/>
      <name val="Century Gothic"/>
      <family val="2"/>
    </font>
    <font>
      <b/>
      <u/>
      <sz val="11"/>
      <name val="Century Gothic"/>
      <family val="2"/>
    </font>
    <font>
      <b/>
      <i/>
      <u/>
      <sz val="11"/>
      <name val="Century Gothic"/>
      <family val="2"/>
    </font>
    <font>
      <i/>
      <sz val="11"/>
      <name val="Century Gothic"/>
      <family val="2"/>
    </font>
    <font>
      <u/>
      <sz val="11"/>
      <name val="Century Gothic"/>
      <family val="2"/>
    </font>
    <font>
      <i/>
      <u/>
      <sz val="11"/>
      <name val="Century Gothic"/>
      <family val="2"/>
    </font>
    <font>
      <b/>
      <sz val="11"/>
      <name val="Calibri"/>
      <family val="2"/>
      <scheme val="minor"/>
    </font>
    <font>
      <b/>
      <sz val="11"/>
      <color theme="1"/>
      <name val="Century Gothic"/>
      <family val="2"/>
    </font>
    <font>
      <b/>
      <sz val="11"/>
      <color theme="1"/>
      <name val="Calibri"/>
      <family val="2"/>
    </font>
    <font>
      <i/>
      <u/>
      <sz val="11"/>
      <color theme="1"/>
      <name val="Century Gothic"/>
      <family val="2"/>
    </font>
    <font>
      <b/>
      <u/>
      <sz val="11"/>
      <color theme="1"/>
      <name val="Century Gothic"/>
      <family val="2"/>
    </font>
    <font>
      <sz val="11"/>
      <color theme="1"/>
      <name val="Century Gothic"/>
      <family val="2"/>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0" borderId="0"/>
    <xf numFmtId="164" fontId="1" fillId="0" borderId="0" applyFont="0" applyFill="0" applyBorder="0" applyAlignment="0" applyProtection="0"/>
    <xf numFmtId="0" fontId="2" fillId="0" borderId="0"/>
    <xf numFmtId="43" fontId="2" fillId="0" borderId="0" applyFont="0" applyFill="0" applyBorder="0" applyAlignment="0" applyProtection="0"/>
    <xf numFmtId="164" fontId="1" fillId="0" borderId="0" applyFont="0" applyFill="0" applyBorder="0" applyAlignment="0" applyProtection="0"/>
    <xf numFmtId="0" fontId="2" fillId="0" borderId="0"/>
  </cellStyleXfs>
  <cellXfs count="333">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vertical="center" wrapText="1"/>
    </xf>
    <xf numFmtId="164" fontId="3" fillId="0" borderId="2" xfId="1" applyFont="1" applyFill="1" applyBorder="1" applyAlignment="1">
      <alignment horizontal="center" vertical="center"/>
    </xf>
    <xf numFmtId="164" fontId="3" fillId="0" borderId="1" xfId="1" applyFont="1" applyFill="1" applyBorder="1" applyAlignment="1">
      <alignment horizontal="center" vertical="center" wrapText="1"/>
    </xf>
    <xf numFmtId="164" fontId="3" fillId="0" borderId="1" xfId="1" applyFont="1" applyFill="1" applyBorder="1" applyAlignment="1">
      <alignment horizontal="right" vertical="center"/>
    </xf>
    <xf numFmtId="0" fontId="3" fillId="0" borderId="3" xfId="2" applyFont="1" applyBorder="1" applyAlignment="1">
      <alignment horizontal="center" vertical="center"/>
    </xf>
    <xf numFmtId="0" fontId="3" fillId="0" borderId="3" xfId="2" applyFont="1" applyBorder="1" applyAlignment="1">
      <alignment horizontal="left"/>
    </xf>
    <xf numFmtId="2" fontId="4" fillId="0" borderId="0" xfId="2" applyNumberFormat="1" applyFont="1" applyAlignment="1">
      <alignment horizontal="center" vertical="center"/>
    </xf>
    <xf numFmtId="2" fontId="3" fillId="0" borderId="3" xfId="2" applyNumberFormat="1" applyFont="1" applyBorder="1" applyAlignment="1">
      <alignment horizontal="center" vertical="center"/>
    </xf>
    <xf numFmtId="43" fontId="3" fillId="0" borderId="3" xfId="3" applyFont="1" applyFill="1" applyBorder="1" applyAlignment="1">
      <alignment horizontal="right" vertical="top"/>
    </xf>
    <xf numFmtId="165" fontId="4" fillId="0" borderId="3" xfId="2" applyNumberFormat="1" applyFont="1" applyBorder="1" applyAlignment="1">
      <alignment horizontal="center" vertical="center"/>
    </xf>
    <xf numFmtId="0" fontId="5" fillId="0" borderId="3" xfId="2" applyFont="1" applyBorder="1" applyAlignment="1">
      <alignment horizontal="left" wrapText="1"/>
    </xf>
    <xf numFmtId="0" fontId="4" fillId="0" borderId="0" xfId="2" applyFont="1" applyAlignment="1">
      <alignment horizontal="center" vertical="center"/>
    </xf>
    <xf numFmtId="2" fontId="4" fillId="0" borderId="3" xfId="2" applyNumberFormat="1" applyFont="1" applyBorder="1" applyAlignment="1">
      <alignment horizontal="center" vertical="center"/>
    </xf>
    <xf numFmtId="0" fontId="7" fillId="0" borderId="3" xfId="2" applyFont="1" applyBorder="1" applyAlignment="1">
      <alignment horizontal="left" wrapText="1"/>
    </xf>
    <xf numFmtId="0" fontId="6" fillId="0" borderId="3" xfId="2" applyFont="1" applyBorder="1" applyAlignment="1">
      <alignment horizontal="left"/>
    </xf>
    <xf numFmtId="0" fontId="7" fillId="0" borderId="3" xfId="2" applyFont="1" applyBorder="1" applyAlignment="1">
      <alignment horizontal="left"/>
    </xf>
    <xf numFmtId="0" fontId="4" fillId="0" borderId="3" xfId="2" applyFont="1" applyBorder="1" applyAlignment="1">
      <alignment horizontal="left"/>
    </xf>
    <xf numFmtId="0" fontId="4" fillId="0" borderId="3" xfId="0" applyFont="1" applyBorder="1" applyAlignment="1">
      <alignment wrapText="1"/>
    </xf>
    <xf numFmtId="0" fontId="5" fillId="0" borderId="3" xfId="2" applyFont="1" applyBorder="1" applyAlignment="1">
      <alignment horizontal="left"/>
    </xf>
    <xf numFmtId="43" fontId="4" fillId="0" borderId="3" xfId="3" applyFont="1" applyFill="1" applyBorder="1" applyAlignment="1">
      <alignment horizontal="right" vertical="top"/>
    </xf>
    <xf numFmtId="0" fontId="4" fillId="0" borderId="3" xfId="2" applyFont="1" applyBorder="1" applyAlignment="1">
      <alignment horizontal="left" wrapText="1"/>
    </xf>
    <xf numFmtId="0" fontId="4" fillId="0" borderId="1" xfId="2" applyFont="1" applyBorder="1" applyAlignment="1">
      <alignment horizontal="center" vertical="center"/>
    </xf>
    <xf numFmtId="0" fontId="3" fillId="0" borderId="1" xfId="2" applyFont="1" applyBorder="1" applyAlignment="1">
      <alignment horizontal="left" wrapText="1"/>
    </xf>
    <xf numFmtId="2" fontId="4" fillId="0" borderId="1" xfId="2" applyNumberFormat="1" applyFont="1" applyBorder="1" applyAlignment="1">
      <alignment horizontal="center" vertical="center"/>
    </xf>
    <xf numFmtId="43" fontId="3" fillId="0" borderId="1" xfId="3" applyFont="1" applyFill="1" applyBorder="1" applyAlignment="1">
      <alignment horizontal="left" vertical="center"/>
    </xf>
    <xf numFmtId="0" fontId="4" fillId="0" borderId="0" xfId="0" applyFont="1" applyAlignment="1">
      <alignment horizontal="center" vertical="center"/>
    </xf>
    <xf numFmtId="0" fontId="4" fillId="0" borderId="0" xfId="0" applyFont="1" applyAlignment="1">
      <alignment wrapText="1"/>
    </xf>
    <xf numFmtId="164" fontId="4" fillId="0" borderId="0" xfId="1" applyFont="1" applyFill="1"/>
    <xf numFmtId="164" fontId="3" fillId="0" borderId="1" xfId="1" applyFont="1" applyFill="1" applyBorder="1" applyAlignment="1">
      <alignment horizontal="center" vertical="center"/>
    </xf>
    <xf numFmtId="0" fontId="4" fillId="0" borderId="3" xfId="0" applyFont="1" applyBorder="1" applyAlignment="1">
      <alignment horizontal="center" vertical="center"/>
    </xf>
    <xf numFmtId="164" fontId="4" fillId="0" borderId="3" xfId="1" applyFont="1" applyFill="1" applyBorder="1"/>
    <xf numFmtId="0" fontId="3" fillId="0" borderId="3" xfId="0" applyFont="1" applyBorder="1" applyAlignment="1">
      <alignment wrapText="1"/>
    </xf>
    <xf numFmtId="0" fontId="8" fillId="0" borderId="3" xfId="0" applyFont="1" applyBorder="1" applyAlignment="1">
      <alignment wrapText="1"/>
    </xf>
    <xf numFmtId="0" fontId="9" fillId="0" borderId="3" xfId="0" applyFont="1" applyBorder="1" applyAlignment="1">
      <alignment wrapText="1"/>
    </xf>
    <xf numFmtId="0" fontId="4" fillId="0" borderId="1" xfId="0" applyFont="1" applyBorder="1" applyAlignment="1">
      <alignment horizontal="center" vertical="center"/>
    </xf>
    <xf numFmtId="0" fontId="3" fillId="0" borderId="1" xfId="0" applyFont="1" applyBorder="1" applyAlignment="1">
      <alignment wrapText="1"/>
    </xf>
    <xf numFmtId="164" fontId="3" fillId="0" borderId="1" xfId="1" applyFont="1" applyFill="1" applyBorder="1"/>
    <xf numFmtId="0" fontId="3" fillId="0" borderId="3" xfId="0" applyFont="1" applyBorder="1" applyAlignment="1">
      <alignment horizontal="center" vertical="center" wrapText="1"/>
    </xf>
    <xf numFmtId="0" fontId="3" fillId="0" borderId="3" xfId="0" applyFont="1" applyBorder="1" applyAlignment="1">
      <alignment vertical="center" wrapText="1"/>
    </xf>
    <xf numFmtId="164" fontId="3" fillId="0" borderId="3" xfId="1" applyFont="1" applyFill="1" applyBorder="1" applyAlignment="1">
      <alignment horizontal="center" vertical="center"/>
    </xf>
    <xf numFmtId="164" fontId="3" fillId="0" borderId="0" xfId="1" applyFont="1" applyFill="1" applyBorder="1" applyAlignment="1">
      <alignment horizontal="center" vertical="center" wrapText="1"/>
    </xf>
    <xf numFmtId="164" fontId="3" fillId="0" borderId="3" xfId="1" applyFont="1" applyFill="1" applyBorder="1" applyAlignment="1">
      <alignment horizontal="right" vertical="center"/>
    </xf>
    <xf numFmtId="0" fontId="4" fillId="0" borderId="5" xfId="0" applyFont="1" applyBorder="1" applyAlignment="1">
      <alignment wrapText="1"/>
    </xf>
    <xf numFmtId="164" fontId="4" fillId="0" borderId="5" xfId="1" applyFont="1" applyFill="1" applyBorder="1"/>
    <xf numFmtId="0" fontId="9" fillId="0" borderId="5" xfId="0" applyFont="1" applyBorder="1" applyAlignment="1">
      <alignment wrapText="1"/>
    </xf>
    <xf numFmtId="0" fontId="3" fillId="0" borderId="4" xfId="0" applyFont="1" applyBorder="1" applyAlignment="1">
      <alignment wrapText="1"/>
    </xf>
    <xf numFmtId="0" fontId="4" fillId="0" borderId="3" xfId="2" applyFont="1" applyBorder="1" applyAlignment="1">
      <alignment horizontal="left" vertical="center" wrapText="1"/>
    </xf>
    <xf numFmtId="43" fontId="4" fillId="0" borderId="3" xfId="3" applyFont="1" applyFill="1" applyBorder="1" applyAlignment="1">
      <alignment horizontal="right" vertical="center"/>
    </xf>
    <xf numFmtId="0" fontId="0" fillId="0" borderId="0" xfId="0" applyAlignment="1">
      <alignment vertical="center"/>
    </xf>
    <xf numFmtId="0" fontId="0" fillId="0" borderId="6" xfId="0" applyFont="1" applyBorder="1"/>
    <xf numFmtId="0" fontId="0" fillId="0" borderId="7" xfId="0" applyFont="1" applyBorder="1"/>
    <xf numFmtId="0" fontId="0" fillId="0" borderId="8" xfId="0" applyFont="1" applyBorder="1"/>
    <xf numFmtId="0" fontId="0" fillId="0" borderId="10" xfId="0" applyFont="1" applyBorder="1"/>
    <xf numFmtId="0" fontId="0" fillId="0" borderId="4" xfId="0" applyFont="1" applyBorder="1"/>
    <xf numFmtId="0" fontId="0" fillId="0" borderId="11" xfId="0" applyFont="1" applyBorder="1"/>
    <xf numFmtId="0" fontId="0" fillId="0" borderId="0" xfId="0" applyFont="1"/>
    <xf numFmtId="164" fontId="3" fillId="0" borderId="1" xfId="1" applyFont="1" applyFill="1" applyBorder="1" applyAlignment="1">
      <alignment vertical="center"/>
    </xf>
    <xf numFmtId="0" fontId="4" fillId="0" borderId="6" xfId="0" applyFont="1" applyBorder="1" applyAlignment="1">
      <alignment horizontal="center" vertical="center"/>
    </xf>
    <xf numFmtId="0" fontId="3" fillId="0" borderId="7" xfId="0" applyFont="1" applyBorder="1" applyAlignment="1">
      <alignment wrapText="1"/>
    </xf>
    <xf numFmtId="164" fontId="3" fillId="0" borderId="8" xfId="1" applyFont="1" applyFill="1" applyBorder="1"/>
    <xf numFmtId="0" fontId="4" fillId="0" borderId="9" xfId="0" applyFont="1" applyBorder="1" applyAlignment="1">
      <alignment horizontal="center" vertical="center"/>
    </xf>
    <xf numFmtId="164" fontId="3" fillId="0" borderId="5" xfId="1" applyFont="1" applyFill="1" applyBorder="1"/>
    <xf numFmtId="0" fontId="4" fillId="0" borderId="10" xfId="0" applyFont="1" applyBorder="1" applyAlignment="1">
      <alignment horizontal="center" vertical="center"/>
    </xf>
    <xf numFmtId="0" fontId="10" fillId="0" borderId="5" xfId="0" applyFont="1" applyBorder="1" applyAlignment="1">
      <alignment horizontal="center" vertical="center" wrapText="1"/>
    </xf>
    <xf numFmtId="0" fontId="11" fillId="0" borderId="9" xfId="0" applyFont="1" applyBorder="1" applyAlignment="1">
      <alignment horizontal="center"/>
    </xf>
    <xf numFmtId="0" fontId="11" fillId="0" borderId="5" xfId="0" applyFont="1" applyBorder="1" applyAlignment="1">
      <alignment horizontal="center"/>
    </xf>
    <xf numFmtId="164" fontId="4" fillId="0" borderId="0" xfId="1" applyFont="1" applyFill="1" applyAlignment="1">
      <alignment horizontal="center"/>
    </xf>
    <xf numFmtId="0" fontId="4" fillId="0" borderId="3" xfId="0" applyFont="1" applyBorder="1" applyAlignment="1">
      <alignment vertical="center" wrapText="1"/>
    </xf>
    <xf numFmtId="164" fontId="4" fillId="0" borderId="3" xfId="1" applyFont="1" applyFill="1" applyBorder="1" applyAlignment="1">
      <alignment vertical="center"/>
    </xf>
    <xf numFmtId="0" fontId="3" fillId="0" borderId="3" xfId="0" applyFont="1" applyBorder="1" applyAlignment="1">
      <alignment horizontal="center" vertical="center"/>
    </xf>
    <xf numFmtId="164" fontId="4" fillId="0" borderId="0" xfId="1" applyFont="1" applyFill="1" applyBorder="1" applyAlignment="1">
      <alignment horizontal="center"/>
    </xf>
    <xf numFmtId="0" fontId="0" fillId="0" borderId="7" xfId="0" applyFont="1" applyBorder="1" applyAlignment="1">
      <alignment horizontal="center"/>
    </xf>
    <xf numFmtId="0" fontId="0" fillId="0" borderId="4" xfId="0" applyFont="1" applyBorder="1" applyAlignment="1">
      <alignment horizontal="center"/>
    </xf>
    <xf numFmtId="164" fontId="4" fillId="0" borderId="3" xfId="1" applyFont="1" applyFill="1" applyBorder="1" applyAlignment="1">
      <alignment horizontal="center"/>
    </xf>
    <xf numFmtId="164" fontId="4" fillId="0" borderId="3" xfId="1" applyFont="1" applyFill="1" applyBorder="1" applyAlignment="1">
      <alignment horizontal="center" vertical="center"/>
    </xf>
    <xf numFmtId="164" fontId="4" fillId="0" borderId="1" xfId="1" applyFont="1" applyFill="1" applyBorder="1" applyAlignment="1">
      <alignment horizontal="center" vertical="center"/>
    </xf>
    <xf numFmtId="164" fontId="4" fillId="0" borderId="7" xfId="1" applyFont="1" applyFill="1" applyBorder="1" applyAlignment="1">
      <alignment horizontal="center"/>
    </xf>
    <xf numFmtId="164" fontId="4" fillId="0" borderId="4" xfId="1" applyFont="1" applyFill="1" applyBorder="1" applyAlignment="1">
      <alignment horizontal="center"/>
    </xf>
    <xf numFmtId="164" fontId="4" fillId="0" borderId="5" xfId="1" applyFont="1" applyFill="1" applyBorder="1" applyAlignment="1">
      <alignment horizontal="center"/>
    </xf>
    <xf numFmtId="164" fontId="4" fillId="0" borderId="1" xfId="1" applyFont="1" applyFill="1" applyBorder="1" applyAlignment="1">
      <alignment horizontal="center"/>
    </xf>
    <xf numFmtId="0" fontId="0" fillId="0" borderId="0" xfId="0" applyAlignment="1">
      <alignment horizontal="center"/>
    </xf>
    <xf numFmtId="164" fontId="3" fillId="0" borderId="3" xfId="1" applyFont="1" applyFill="1" applyBorder="1" applyAlignment="1">
      <alignment horizontal="center"/>
    </xf>
    <xf numFmtId="164" fontId="3" fillId="0" borderId="3" xfId="1" applyFont="1" applyFill="1" applyBorder="1"/>
    <xf numFmtId="164" fontId="3" fillId="0" borderId="1" xfId="1" applyFont="1" applyFill="1" applyBorder="1" applyAlignment="1">
      <alignment horizontal="center"/>
    </xf>
    <xf numFmtId="0" fontId="10" fillId="0" borderId="9" xfId="0" applyFont="1" applyBorder="1" applyAlignment="1">
      <alignment horizontal="center" vertical="center" wrapText="1"/>
    </xf>
    <xf numFmtId="0" fontId="3" fillId="0" borderId="1" xfId="0" applyFont="1" applyBorder="1" applyAlignment="1">
      <alignment horizontal="center" vertical="center"/>
    </xf>
    <xf numFmtId="0" fontId="9" fillId="0" borderId="3" xfId="0" applyFont="1" applyBorder="1" applyAlignment="1">
      <alignment vertical="center" wrapText="1"/>
    </xf>
    <xf numFmtId="0" fontId="8" fillId="0" borderId="3" xfId="0" applyFont="1" applyBorder="1" applyAlignment="1">
      <alignment vertical="center" wrapText="1"/>
    </xf>
    <xf numFmtId="0" fontId="10" fillId="0" borderId="9" xfId="0" applyFont="1" applyBorder="1" applyAlignment="1">
      <alignment vertical="center" wrapText="1"/>
    </xf>
    <xf numFmtId="0" fontId="10" fillId="0" borderId="5" xfId="0" applyFont="1" applyBorder="1" applyAlignment="1">
      <alignment vertical="center" wrapText="1"/>
    </xf>
    <xf numFmtId="0" fontId="4" fillId="0" borderId="7" xfId="0" applyFont="1" applyBorder="1" applyAlignment="1">
      <alignment wrapText="1"/>
    </xf>
    <xf numFmtId="164" fontId="4" fillId="0" borderId="8" xfId="1" applyFont="1" applyFill="1" applyBorder="1"/>
    <xf numFmtId="0" fontId="4" fillId="0" borderId="12" xfId="0" applyFont="1" applyBorder="1" applyAlignment="1">
      <alignment horizontal="center" vertical="center"/>
    </xf>
    <xf numFmtId="0" fontId="4" fillId="0" borderId="12" xfId="0" applyFont="1" applyBorder="1" applyAlignment="1">
      <alignment wrapText="1"/>
    </xf>
    <xf numFmtId="164" fontId="4" fillId="0" borderId="12" xfId="1" applyFont="1" applyFill="1" applyBorder="1" applyAlignment="1">
      <alignment horizontal="center"/>
    </xf>
    <xf numFmtId="164" fontId="4" fillId="0" borderId="12" xfId="1" applyFont="1" applyFill="1" applyBorder="1"/>
    <xf numFmtId="0" fontId="4" fillId="0" borderId="3" xfId="2" applyFont="1" applyBorder="1" applyAlignment="1">
      <alignment horizontal="center" vertical="center"/>
    </xf>
    <xf numFmtId="43" fontId="4" fillId="0" borderId="3" xfId="3" applyFont="1" applyFill="1" applyBorder="1" applyAlignment="1">
      <alignment horizontal="center" vertical="center"/>
    </xf>
    <xf numFmtId="43" fontId="3" fillId="0" borderId="1" xfId="3" applyFont="1" applyFill="1" applyBorder="1" applyAlignment="1">
      <alignment horizontal="center" vertical="center"/>
    </xf>
    <xf numFmtId="0" fontId="0" fillId="0" borderId="0" xfId="0" applyFont="1" applyAlignment="1">
      <alignment vertical="center"/>
    </xf>
    <xf numFmtId="0" fontId="4" fillId="0" borderId="3" xfId="0" applyFont="1" applyBorder="1" applyAlignment="1">
      <alignment horizontal="center"/>
    </xf>
    <xf numFmtId="0" fontId="8" fillId="0" borderId="5" xfId="0" applyFont="1" applyBorder="1" applyAlignment="1">
      <alignment wrapText="1"/>
    </xf>
    <xf numFmtId="164" fontId="4" fillId="0" borderId="5" xfId="1" applyFont="1" applyFill="1" applyBorder="1" applyAlignment="1">
      <alignment horizontal="center" vertical="center"/>
    </xf>
    <xf numFmtId="0" fontId="4" fillId="0" borderId="13" xfId="0" applyFont="1" applyBorder="1" applyAlignment="1">
      <alignment horizontal="center" vertical="center"/>
    </xf>
    <xf numFmtId="0" fontId="4" fillId="0" borderId="13" xfId="0" applyFont="1" applyBorder="1" applyAlignment="1">
      <alignment wrapText="1"/>
    </xf>
    <xf numFmtId="164" fontId="4" fillId="0" borderId="13" xfId="1" applyFont="1" applyFill="1" applyBorder="1" applyAlignment="1">
      <alignment horizontal="center"/>
    </xf>
    <xf numFmtId="164" fontId="4" fillId="0" borderId="13" xfId="1" applyFont="1" applyFill="1" applyBorder="1"/>
    <xf numFmtId="0" fontId="3" fillId="0" borderId="12" xfId="0" applyFont="1" applyBorder="1" applyAlignment="1">
      <alignment horizontal="center" vertical="center" wrapText="1"/>
    </xf>
    <xf numFmtId="0" fontId="3" fillId="0" borderId="12" xfId="0" applyFont="1" applyBorder="1" applyAlignment="1">
      <alignment vertical="center" wrapText="1"/>
    </xf>
    <xf numFmtId="164" fontId="3" fillId="0" borderId="12" xfId="1" applyFont="1" applyFill="1" applyBorder="1" applyAlignment="1">
      <alignment horizontal="center" vertical="center"/>
    </xf>
    <xf numFmtId="164" fontId="3" fillId="0" borderId="12" xfId="1" applyFont="1" applyFill="1" applyBorder="1" applyAlignment="1">
      <alignment horizontal="center" vertical="center" wrapText="1"/>
    </xf>
    <xf numFmtId="164" fontId="3" fillId="0" borderId="12" xfId="1" applyFont="1" applyFill="1" applyBorder="1" applyAlignment="1">
      <alignment horizontal="right" vertical="center"/>
    </xf>
    <xf numFmtId="164" fontId="3" fillId="0" borderId="3" xfId="1" applyFont="1" applyFill="1" applyBorder="1" applyAlignment="1">
      <alignment vertical="center"/>
    </xf>
    <xf numFmtId="164" fontId="3" fillId="0" borderId="11" xfId="1" applyFont="1" applyFill="1" applyBorder="1"/>
    <xf numFmtId="0" fontId="3" fillId="0" borderId="12" xfId="0" applyFont="1" applyBorder="1" applyAlignment="1">
      <alignment wrapText="1"/>
    </xf>
    <xf numFmtId="164" fontId="3" fillId="0" borderId="12" xfId="1" applyFont="1" applyFill="1" applyBorder="1"/>
    <xf numFmtId="0" fontId="4" fillId="0" borderId="3" xfId="0" applyFont="1" applyBorder="1" applyAlignment="1">
      <alignment horizontal="left" vertical="center" wrapText="1"/>
    </xf>
    <xf numFmtId="0" fontId="3" fillId="0" borderId="9" xfId="0" applyFont="1" applyBorder="1" applyAlignment="1">
      <alignment horizontal="center" vertical="center" wrapText="1"/>
    </xf>
    <xf numFmtId="0" fontId="3" fillId="0" borderId="5" xfId="0" applyFont="1" applyBorder="1" applyAlignment="1">
      <alignment horizontal="center" vertical="center" wrapText="1"/>
    </xf>
    <xf numFmtId="0" fontId="3" fillId="0" borderId="3" xfId="0" applyFont="1" applyBorder="1" applyAlignment="1">
      <alignment horizontal="left" wrapText="1"/>
    </xf>
    <xf numFmtId="0" fontId="3" fillId="0" borderId="3" xfId="0" applyFont="1" applyBorder="1" applyAlignment="1">
      <alignment horizontal="center"/>
    </xf>
    <xf numFmtId="0" fontId="5" fillId="0" borderId="3" xfId="0" applyFont="1" applyBorder="1"/>
    <xf numFmtId="0" fontId="4" fillId="0" borderId="3" xfId="0" applyFont="1" applyBorder="1" applyAlignment="1">
      <alignment vertical="center"/>
    </xf>
    <xf numFmtId="164" fontId="4" fillId="0" borderId="3" xfId="1" applyFont="1" applyBorder="1" applyAlignment="1">
      <alignment horizontal="center"/>
    </xf>
    <xf numFmtId="0" fontId="4" fillId="0" borderId="3" xfId="0" applyFont="1" applyBorder="1"/>
    <xf numFmtId="0" fontId="13" fillId="0" borderId="3" xfId="0" applyFont="1" applyBorder="1"/>
    <xf numFmtId="0" fontId="14" fillId="0" borderId="3" xfId="0" applyFont="1" applyBorder="1"/>
    <xf numFmtId="0" fontId="13" fillId="0" borderId="3" xfId="0" applyFont="1" applyBorder="1" applyAlignment="1">
      <alignment vertical="top" wrapText="1"/>
    </xf>
    <xf numFmtId="0" fontId="9" fillId="0" borderId="3" xfId="0" applyFont="1" applyBorder="1"/>
    <xf numFmtId="164" fontId="4" fillId="0" borderId="3" xfId="1" applyFont="1" applyBorder="1" applyAlignment="1">
      <alignment vertical="center"/>
    </xf>
    <xf numFmtId="0" fontId="8" fillId="0" borderId="3" xfId="0" applyFont="1" applyBorder="1"/>
    <xf numFmtId="164" fontId="4" fillId="0" borderId="3" xfId="1" applyFont="1" applyBorder="1"/>
    <xf numFmtId="164" fontId="4" fillId="0" borderId="3" xfId="1" applyFont="1" applyBorder="1" applyAlignment="1"/>
    <xf numFmtId="0" fontId="4" fillId="0" borderId="3" xfId="0" applyFont="1" applyBorder="1" applyAlignment="1">
      <alignment horizontal="left"/>
    </xf>
    <xf numFmtId="0" fontId="9" fillId="0" borderId="3" xfId="0" applyFont="1" applyBorder="1" applyAlignment="1">
      <alignment horizontal="left"/>
    </xf>
    <xf numFmtId="0" fontId="8" fillId="0" borderId="3" xfId="0" applyFont="1" applyBorder="1" applyAlignment="1">
      <alignment horizontal="left"/>
    </xf>
    <xf numFmtId="0" fontId="15" fillId="0" borderId="3" xfId="0" applyFont="1" applyBorder="1" applyAlignment="1">
      <alignment horizontal="center" vertical="center"/>
    </xf>
    <xf numFmtId="164" fontId="15" fillId="0" borderId="3" xfId="1" applyFont="1" applyBorder="1" applyAlignment="1">
      <alignment horizontal="center"/>
    </xf>
    <xf numFmtId="164" fontId="4" fillId="0" borderId="3" xfId="1" applyFont="1" applyBorder="1" applyAlignment="1">
      <alignment horizontal="center" vertical="center"/>
    </xf>
    <xf numFmtId="164" fontId="4" fillId="0" borderId="3" xfId="4" applyFont="1" applyBorder="1" applyAlignment="1">
      <alignment horizontal="center"/>
    </xf>
    <xf numFmtId="0" fontId="4"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164" fontId="11" fillId="0" borderId="1" xfId="1" applyFont="1" applyBorder="1" applyAlignment="1">
      <alignment horizontal="center" vertical="center" wrapText="1"/>
    </xf>
    <xf numFmtId="164" fontId="11" fillId="0" borderId="1" xfId="4" applyFont="1" applyBorder="1" applyAlignment="1">
      <alignment horizontal="center" vertical="center" wrapText="1"/>
    </xf>
    <xf numFmtId="0" fontId="3" fillId="0" borderId="3" xfId="0" applyFont="1" applyBorder="1" applyAlignment="1">
      <alignment horizontal="left" vertical="center" wrapText="1"/>
    </xf>
    <xf numFmtId="164" fontId="4" fillId="0" borderId="3" xfId="4" applyFont="1" applyFill="1" applyBorder="1" applyAlignment="1">
      <alignment horizontal="center" vertical="center"/>
    </xf>
    <xf numFmtId="0" fontId="5" fillId="0" borderId="3" xfId="0" applyFont="1" applyBorder="1" applyAlignment="1">
      <alignment horizontal="left" vertical="center" wrapText="1"/>
    </xf>
    <xf numFmtId="0" fontId="11" fillId="0" borderId="3" xfId="0" applyFont="1" applyBorder="1"/>
    <xf numFmtId="0" fontId="4" fillId="0" borderId="9" xfId="0" applyFont="1" applyBorder="1" applyAlignment="1">
      <alignment horizontal="center"/>
    </xf>
    <xf numFmtId="0" fontId="6" fillId="0" borderId="3" xfId="0" applyFont="1" applyBorder="1" applyAlignment="1">
      <alignment horizontal="left" wrapText="1"/>
    </xf>
    <xf numFmtId="0" fontId="4" fillId="0" borderId="3" xfId="0" applyFont="1" applyBorder="1" applyAlignment="1">
      <alignment horizontal="left" wrapText="1"/>
    </xf>
    <xf numFmtId="0" fontId="4" fillId="0" borderId="3" xfId="0" applyFont="1" applyBorder="1" applyAlignment="1">
      <alignment vertical="top" wrapText="1"/>
    </xf>
    <xf numFmtId="0" fontId="9" fillId="0" borderId="3" xfId="0" applyFont="1" applyBorder="1" applyAlignment="1">
      <alignment vertical="top" wrapText="1"/>
    </xf>
    <xf numFmtId="0" fontId="8" fillId="0" borderId="3" xfId="0" applyFont="1" applyBorder="1" applyAlignment="1">
      <alignment vertical="top" wrapText="1"/>
    </xf>
    <xf numFmtId="0" fontId="4" fillId="0" borderId="12" xfId="0" applyFont="1" applyBorder="1" applyAlignment="1">
      <alignment horizontal="center"/>
    </xf>
    <xf numFmtId="0" fontId="4" fillId="0" borderId="12" xfId="0" applyFont="1" applyBorder="1"/>
    <xf numFmtId="164" fontId="4" fillId="0" borderId="12" xfId="1" applyFont="1" applyBorder="1" applyAlignment="1">
      <alignment horizontal="center" vertical="center"/>
    </xf>
    <xf numFmtId="164" fontId="4" fillId="0" borderId="12" xfId="4" applyFont="1" applyBorder="1" applyAlignment="1">
      <alignment horizontal="center"/>
    </xf>
    <xf numFmtId="0" fontId="8" fillId="0" borderId="3" xfId="0" applyFont="1" applyBorder="1" applyAlignment="1">
      <alignment horizontal="left" vertical="center" wrapText="1"/>
    </xf>
    <xf numFmtId="164" fontId="4" fillId="0" borderId="13" xfId="4" applyFont="1" applyBorder="1" applyAlignment="1">
      <alignment horizontal="center"/>
    </xf>
    <xf numFmtId="0" fontId="9" fillId="0" borderId="3" xfId="0" applyFont="1" applyBorder="1" applyAlignment="1">
      <alignment horizontal="left" vertical="center" wrapText="1"/>
    </xf>
    <xf numFmtId="164" fontId="4" fillId="0" borderId="3" xfId="4" applyFont="1" applyBorder="1" applyAlignment="1">
      <alignment horizontal="center" vertical="center"/>
    </xf>
    <xf numFmtId="0" fontId="4" fillId="0" borderId="3" xfId="5" applyFont="1" applyBorder="1" applyAlignment="1">
      <alignment horizontal="center" vertical="top" wrapText="1"/>
    </xf>
    <xf numFmtId="0" fontId="4" fillId="0" borderId="3" xfId="5" applyFont="1" applyBorder="1" applyAlignment="1">
      <alignment horizontal="left" vertical="top" wrapText="1"/>
    </xf>
    <xf numFmtId="0" fontId="4" fillId="0" borderId="3" xfId="5" applyFont="1" applyBorder="1" applyAlignment="1">
      <alignment horizontal="center" vertical="center" wrapText="1"/>
    </xf>
    <xf numFmtId="0" fontId="8" fillId="0" borderId="3" xfId="5" applyFont="1" applyBorder="1" applyAlignment="1">
      <alignment vertical="top" wrapText="1"/>
    </xf>
    <xf numFmtId="0" fontId="4" fillId="0" borderId="3" xfId="5" applyFont="1" applyBorder="1" applyAlignment="1">
      <alignment vertical="top" wrapText="1"/>
    </xf>
    <xf numFmtId="0" fontId="4" fillId="0" borderId="3" xfId="5" applyFont="1" applyBorder="1" applyAlignment="1">
      <alignment horizontal="left" vertical="center"/>
    </xf>
    <xf numFmtId="17" fontId="4" fillId="0" borderId="3" xfId="0" applyNumberFormat="1" applyFont="1" applyBorder="1" applyAlignment="1">
      <alignment horizontal="left" vertical="center" wrapText="1"/>
    </xf>
    <xf numFmtId="164" fontId="4" fillId="0" borderId="3" xfId="4" applyFont="1" applyBorder="1" applyAlignment="1"/>
    <xf numFmtId="164" fontId="3" fillId="0" borderId="1" xfId="4" applyFont="1" applyBorder="1" applyAlignment="1">
      <alignment horizontal="center" vertical="center"/>
    </xf>
    <xf numFmtId="164" fontId="11" fillId="0" borderId="1" xfId="4" applyFont="1" applyBorder="1" applyAlignment="1">
      <alignment vertical="center"/>
    </xf>
    <xf numFmtId="0" fontId="9" fillId="0" borderId="3" xfId="0" applyFont="1" applyBorder="1" applyAlignment="1">
      <alignment horizontal="left" wrapText="1"/>
    </xf>
    <xf numFmtId="1" fontId="3" fillId="0" borderId="3" xfId="0" applyNumberFormat="1" applyFont="1" applyBorder="1" applyAlignment="1">
      <alignment horizontal="center"/>
    </xf>
    <xf numFmtId="0" fontId="6" fillId="0" borderId="3" xfId="0" applyFont="1" applyBorder="1"/>
    <xf numFmtId="0" fontId="4" fillId="0" borderId="13" xfId="0" applyFont="1" applyBorder="1" applyAlignment="1">
      <alignment horizontal="center"/>
    </xf>
    <xf numFmtId="0" fontId="4" fillId="0" borderId="13" xfId="0" applyFont="1" applyBorder="1"/>
    <xf numFmtId="164" fontId="4" fillId="0" borderId="13" xfId="1" applyFont="1" applyBorder="1" applyAlignment="1">
      <alignment horizontal="center" vertical="center"/>
    </xf>
    <xf numFmtId="164" fontId="4" fillId="0" borderId="3" xfId="1" applyFont="1" applyBorder="1" applyAlignment="1">
      <alignment horizontal="left"/>
    </xf>
    <xf numFmtId="3" fontId="4" fillId="0" borderId="3" xfId="0" applyNumberFormat="1" applyFont="1" applyBorder="1" applyAlignment="1">
      <alignment horizontal="center"/>
    </xf>
    <xf numFmtId="0" fontId="11" fillId="0" borderId="3" xfId="0" applyFont="1" applyBorder="1" applyAlignment="1">
      <alignment horizontal="center" vertical="top"/>
    </xf>
    <xf numFmtId="0" fontId="15" fillId="0" borderId="3" xfId="0" applyFont="1" applyBorder="1" applyAlignment="1">
      <alignment horizontal="justify" wrapText="1"/>
    </xf>
    <xf numFmtId="0" fontId="15" fillId="0" borderId="3" xfId="0" applyFont="1" applyBorder="1" applyAlignment="1">
      <alignment horizontal="center"/>
    </xf>
    <xf numFmtId="0" fontId="11" fillId="0" borderId="1" xfId="0" applyFont="1" applyBorder="1" applyAlignment="1">
      <alignment horizontal="center" vertical="top"/>
    </xf>
    <xf numFmtId="0" fontId="11" fillId="0" borderId="1" xfId="0" applyFont="1" applyBorder="1" applyAlignment="1">
      <alignment horizontal="justify"/>
    </xf>
    <xf numFmtId="0" fontId="15" fillId="0" borderId="1" xfId="0" applyFont="1" applyBorder="1" applyAlignment="1">
      <alignment horizontal="right"/>
    </xf>
    <xf numFmtId="0" fontId="15" fillId="0" borderId="1" xfId="0" applyFont="1" applyBorder="1" applyAlignment="1">
      <alignment horizontal="center"/>
    </xf>
    <xf numFmtId="164" fontId="11" fillId="0" borderId="1" xfId="1" applyFont="1" applyBorder="1" applyProtection="1">
      <protection locked="0"/>
    </xf>
    <xf numFmtId="0" fontId="11" fillId="0" borderId="3" xfId="0" applyFont="1" applyBorder="1" applyAlignment="1">
      <alignment horizontal="justify"/>
    </xf>
    <xf numFmtId="0" fontId="15" fillId="0" borderId="3" xfId="0" applyFont="1" applyBorder="1" applyAlignment="1">
      <alignment horizontal="right"/>
    </xf>
    <xf numFmtId="0" fontId="15" fillId="0" borderId="9" xfId="0" applyFont="1" applyBorder="1" applyAlignment="1">
      <alignment horizontal="center"/>
    </xf>
    <xf numFmtId="0" fontId="4" fillId="0" borderId="5" xfId="0" applyFont="1" applyBorder="1" applyAlignment="1">
      <alignment vertical="center" wrapText="1"/>
    </xf>
    <xf numFmtId="0" fontId="8" fillId="0" borderId="5" xfId="0" applyFont="1" applyBorder="1" applyAlignment="1">
      <alignment vertical="center" wrapText="1"/>
    </xf>
    <xf numFmtId="0" fontId="9" fillId="0" borderId="5" xfId="0" applyFont="1" applyBorder="1" applyAlignment="1">
      <alignment vertical="center" wrapText="1"/>
    </xf>
    <xf numFmtId="164" fontId="4" fillId="0" borderId="0" xfId="1" applyFont="1" applyFill="1" applyAlignment="1">
      <alignment horizontal="center" vertical="center"/>
    </xf>
    <xf numFmtId="164" fontId="4" fillId="0" borderId="2" xfId="1" applyFont="1" applyFill="1" applyBorder="1" applyAlignment="1">
      <alignment horizontal="center" vertical="center"/>
    </xf>
    <xf numFmtId="164" fontId="4" fillId="0" borderId="2" xfId="1" applyFont="1" applyFill="1" applyBorder="1" applyAlignment="1">
      <alignment horizontal="center"/>
    </xf>
    <xf numFmtId="3" fontId="4" fillId="0" borderId="3" xfId="0" applyNumberFormat="1" applyFont="1" applyBorder="1" applyAlignment="1">
      <alignment horizontal="center" vertical="center"/>
    </xf>
    <xf numFmtId="166" fontId="4" fillId="0" borderId="3" xfId="4" applyNumberFormat="1" applyFont="1" applyBorder="1" applyAlignment="1">
      <alignment horizontal="center" vertical="center"/>
    </xf>
    <xf numFmtId="166" fontId="4" fillId="0" borderId="13" xfId="4" applyNumberFormat="1" applyFont="1" applyBorder="1" applyAlignment="1">
      <alignment horizontal="center" vertical="center"/>
    </xf>
    <xf numFmtId="166" fontId="11" fillId="0" borderId="1" xfId="4" applyNumberFormat="1" applyFont="1" applyBorder="1" applyAlignment="1">
      <alignment horizontal="center" vertical="center" wrapText="1"/>
    </xf>
    <xf numFmtId="166" fontId="4" fillId="0" borderId="12" xfId="4" applyNumberFormat="1" applyFont="1" applyBorder="1" applyAlignment="1">
      <alignment horizontal="center" vertical="center"/>
    </xf>
    <xf numFmtId="164" fontId="4" fillId="0" borderId="13" xfId="1" applyFont="1" applyBorder="1" applyAlignment="1">
      <alignment horizontal="center"/>
    </xf>
    <xf numFmtId="164" fontId="4" fillId="0" borderId="12" xfId="1" applyFont="1" applyBorder="1" applyAlignment="1">
      <alignment horizontal="center"/>
    </xf>
    <xf numFmtId="0" fontId="9" fillId="0" borderId="3" xfId="5" applyFont="1" applyBorder="1" applyAlignment="1">
      <alignment horizontal="left" vertical="top" wrapText="1"/>
    </xf>
    <xf numFmtId="0" fontId="4" fillId="0" borderId="3" xfId="5" applyFont="1" applyBorder="1" applyAlignment="1">
      <alignment horizontal="center" vertical="center"/>
    </xf>
    <xf numFmtId="0" fontId="4" fillId="0" borderId="6" xfId="0" applyFont="1" applyBorder="1" applyAlignment="1">
      <alignment horizontal="center"/>
    </xf>
    <xf numFmtId="0" fontId="4" fillId="0" borderId="7" xfId="0" applyFont="1" applyBorder="1"/>
    <xf numFmtId="0" fontId="4" fillId="0" borderId="7" xfId="0" applyFont="1" applyBorder="1" applyAlignment="1">
      <alignment horizontal="center" vertical="center"/>
    </xf>
    <xf numFmtId="166" fontId="4" fillId="0" borderId="7" xfId="4" applyNumberFormat="1" applyFont="1" applyBorder="1" applyAlignment="1">
      <alignment horizontal="center" vertical="center"/>
    </xf>
    <xf numFmtId="164" fontId="4" fillId="0" borderId="7" xfId="1" applyFont="1" applyBorder="1" applyAlignment="1">
      <alignment horizontal="center" vertical="center"/>
    </xf>
    <xf numFmtId="164" fontId="4" fillId="0" borderId="8" xfId="4" applyFont="1" applyBorder="1" applyAlignment="1">
      <alignment horizontal="center"/>
    </xf>
    <xf numFmtId="164" fontId="4" fillId="0" borderId="5" xfId="4" applyFont="1" applyBorder="1" applyAlignment="1">
      <alignment horizontal="center"/>
    </xf>
    <xf numFmtId="164" fontId="4" fillId="0" borderId="5" xfId="4" applyFont="1" applyFill="1" applyBorder="1" applyAlignment="1">
      <alignment horizontal="center" vertical="center"/>
    </xf>
    <xf numFmtId="0" fontId="3" fillId="0" borderId="4" xfId="0" applyFont="1" applyBorder="1" applyAlignment="1">
      <alignment horizontal="center" wrapText="1"/>
    </xf>
    <xf numFmtId="164" fontId="4" fillId="0" borderId="4" xfId="4" applyFont="1" applyFill="1" applyBorder="1" applyAlignment="1">
      <alignment horizontal="center" vertical="center"/>
    </xf>
    <xf numFmtId="0" fontId="4" fillId="0" borderId="4" xfId="0" applyFont="1" applyBorder="1" applyAlignment="1">
      <alignment horizontal="center" vertical="center"/>
    </xf>
    <xf numFmtId="164" fontId="4" fillId="0" borderId="11" xfId="4" applyFont="1" applyFill="1" applyBorder="1" applyAlignment="1">
      <alignment horizontal="center" vertical="center"/>
    </xf>
    <xf numFmtId="164" fontId="15" fillId="0" borderId="5" xfId="1" applyFont="1" applyBorder="1" applyAlignment="1" applyProtection="1">
      <protection locked="0"/>
    </xf>
    <xf numFmtId="164" fontId="15" fillId="0" borderId="3" xfId="1" applyFont="1" applyBorder="1" applyAlignment="1" applyProtection="1">
      <protection locked="0"/>
    </xf>
    <xf numFmtId="0" fontId="3" fillId="0" borderId="3" xfId="0" applyFont="1" applyBorder="1" applyAlignment="1">
      <alignment horizontal="left"/>
    </xf>
    <xf numFmtId="0" fontId="3" fillId="0" borderId="12" xfId="0" applyFont="1" applyBorder="1" applyAlignment="1">
      <alignment horizontal="center"/>
    </xf>
    <xf numFmtId="164" fontId="4" fillId="0" borderId="12" xfId="1" applyFont="1" applyBorder="1" applyAlignment="1">
      <alignment vertical="center"/>
    </xf>
    <xf numFmtId="164" fontId="4" fillId="0" borderId="12" xfId="1" applyFont="1" applyBorder="1" applyAlignment="1"/>
    <xf numFmtId="0" fontId="11" fillId="0" borderId="1" xfId="0" applyFont="1" applyBorder="1" applyAlignment="1">
      <alignment horizontal="center" vertical="center"/>
    </xf>
    <xf numFmtId="164" fontId="11" fillId="0" borderId="1" xfId="1" applyFont="1" applyBorder="1" applyAlignment="1">
      <alignment horizontal="center" vertical="center"/>
    </xf>
    <xf numFmtId="164" fontId="15" fillId="0" borderId="3" xfId="1" applyFont="1" applyBorder="1" applyProtection="1">
      <protection locked="0"/>
    </xf>
    <xf numFmtId="164" fontId="11" fillId="0" borderId="3" xfId="1" applyFont="1" applyBorder="1" applyProtection="1">
      <protection locked="0"/>
    </xf>
    <xf numFmtId="0" fontId="15" fillId="0" borderId="1" xfId="0" applyFont="1" applyBorder="1" applyAlignment="1">
      <alignment horizontal="center" vertical="center"/>
    </xf>
    <xf numFmtId="164" fontId="11" fillId="0" borderId="1" xfId="1" applyFont="1" applyBorder="1" applyAlignment="1" applyProtection="1">
      <protection locked="0"/>
    </xf>
    <xf numFmtId="0" fontId="11" fillId="0" borderId="12" xfId="0" applyFont="1" applyBorder="1" applyAlignment="1">
      <alignment horizontal="center" vertical="top"/>
    </xf>
    <xf numFmtId="0" fontId="15" fillId="0" borderId="12" xfId="0" applyFont="1" applyBorder="1" applyAlignment="1">
      <alignment horizontal="center" vertical="center"/>
    </xf>
    <xf numFmtId="0" fontId="11" fillId="0" borderId="12" xfId="0" applyFont="1" applyBorder="1" applyAlignment="1">
      <alignment horizontal="justify"/>
    </xf>
    <xf numFmtId="0" fontId="0" fillId="0" borderId="0" xfId="0"/>
    <xf numFmtId="164" fontId="3" fillId="0" borderId="2" xfId="1" applyFont="1" applyFill="1" applyBorder="1" applyAlignment="1">
      <alignment horizontal="center" vertical="center"/>
    </xf>
    <xf numFmtId="43" fontId="3" fillId="0" borderId="0" xfId="3" applyFont="1" applyFill="1" applyBorder="1" applyAlignment="1">
      <alignment horizontal="center" vertical="center"/>
    </xf>
    <xf numFmtId="43" fontId="4" fillId="0" borderId="0" xfId="3" applyFont="1" applyFill="1" applyBorder="1" applyAlignment="1">
      <alignment horizontal="center" vertical="center"/>
    </xf>
    <xf numFmtId="0" fontId="4" fillId="0" borderId="3" xfId="0" applyFont="1" applyBorder="1" applyAlignment="1">
      <alignment wrapText="1"/>
    </xf>
    <xf numFmtId="164" fontId="4" fillId="0" borderId="0" xfId="1" applyFont="1" applyFill="1"/>
    <xf numFmtId="164" fontId="3" fillId="0" borderId="1" xfId="1" applyFont="1" applyFill="1" applyBorder="1" applyAlignment="1">
      <alignment horizontal="center" vertical="center"/>
    </xf>
    <xf numFmtId="0" fontId="4" fillId="0" borderId="3" xfId="0" applyFont="1" applyBorder="1" applyAlignment="1">
      <alignment horizontal="center" vertical="center"/>
    </xf>
    <xf numFmtId="164" fontId="4" fillId="0" borderId="3" xfId="1" applyFont="1" applyFill="1" applyBorder="1"/>
    <xf numFmtId="0" fontId="3" fillId="0" borderId="3" xfId="0" applyFont="1" applyBorder="1" applyAlignment="1">
      <alignment wrapText="1"/>
    </xf>
    <xf numFmtId="0" fontId="8" fillId="0" borderId="3" xfId="0" applyFont="1" applyBorder="1" applyAlignment="1">
      <alignment wrapText="1"/>
    </xf>
    <xf numFmtId="0" fontId="9" fillId="0" borderId="3" xfId="0" applyFont="1" applyBorder="1" applyAlignment="1">
      <alignment wrapText="1"/>
    </xf>
    <xf numFmtId="164" fontId="3" fillId="0" borderId="3" xfId="1" applyFont="1" applyFill="1" applyBorder="1" applyAlignment="1">
      <alignment horizontal="center" vertical="center"/>
    </xf>
    <xf numFmtId="0" fontId="4" fillId="0" borderId="3" xfId="0" applyFont="1" applyBorder="1" applyAlignment="1">
      <alignment vertical="center" wrapText="1"/>
    </xf>
    <xf numFmtId="164" fontId="4" fillId="0" borderId="3" xfId="1" applyFont="1" applyFill="1" applyBorder="1" applyAlignment="1">
      <alignment vertical="center"/>
    </xf>
    <xf numFmtId="164" fontId="4" fillId="0" borderId="0" xfId="1" applyFont="1" applyFill="1" applyAlignment="1">
      <alignment vertical="center"/>
    </xf>
    <xf numFmtId="165" fontId="3" fillId="0" borderId="3" xfId="2" applyNumberFormat="1" applyFont="1" applyBorder="1" applyAlignment="1">
      <alignment horizontal="center" vertical="center"/>
    </xf>
    <xf numFmtId="0" fontId="15" fillId="0" borderId="6" xfId="0" applyFont="1" applyBorder="1" applyAlignment="1">
      <alignment horizontal="center"/>
    </xf>
    <xf numFmtId="164" fontId="11" fillId="0" borderId="8" xfId="1" applyFont="1" applyBorder="1" applyAlignment="1" applyProtection="1">
      <protection locked="0"/>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164" fontId="4" fillId="0" borderId="3" xfId="1" applyFont="1" applyBorder="1" applyAlignment="1">
      <alignment horizontal="center" vertical="top" wrapText="1"/>
    </xf>
    <xf numFmtId="164" fontId="4" fillId="0" borderId="4" xfId="1" applyFont="1" applyFill="1" applyBorder="1" applyAlignment="1">
      <alignment horizontal="center" vertical="center"/>
    </xf>
    <xf numFmtId="164" fontId="15" fillId="0" borderId="3" xfId="1" applyFont="1" applyFill="1" applyBorder="1" applyAlignment="1" applyProtection="1">
      <alignment horizontal="center"/>
      <protection locked="0"/>
    </xf>
    <xf numFmtId="164" fontId="11" fillId="0" borderId="1" xfId="1" applyFont="1" applyFill="1" applyBorder="1" applyAlignment="1" applyProtection="1">
      <alignment horizontal="center"/>
      <protection locked="0"/>
    </xf>
    <xf numFmtId="164" fontId="15" fillId="0" borderId="1" xfId="1" applyFont="1" applyFill="1" applyBorder="1" applyAlignment="1" applyProtection="1">
      <alignment horizontal="center"/>
      <protection locked="0"/>
    </xf>
    <xf numFmtId="164" fontId="11" fillId="0" borderId="12" xfId="1" applyFont="1" applyFill="1" applyBorder="1" applyAlignment="1" applyProtection="1">
      <alignment horizontal="center"/>
      <protection locked="0"/>
    </xf>
    <xf numFmtId="0" fontId="15" fillId="0" borderId="0" xfId="0" applyFont="1"/>
    <xf numFmtId="0" fontId="15" fillId="0" borderId="3" xfId="0" applyFont="1" applyBorder="1"/>
    <xf numFmtId="0" fontId="6" fillId="0" borderId="3" xfId="2" applyFont="1" applyBorder="1" applyAlignment="1">
      <alignment horizontal="left" vertical="center" wrapText="1"/>
    </xf>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vertical="center" wrapText="1"/>
    </xf>
    <xf numFmtId="164" fontId="3" fillId="0" borderId="2" xfId="1" applyFont="1" applyFill="1" applyBorder="1" applyAlignment="1">
      <alignment horizontal="center" vertical="center"/>
    </xf>
    <xf numFmtId="164" fontId="3" fillId="0" borderId="1" xfId="1" applyFont="1" applyFill="1" applyBorder="1" applyAlignment="1">
      <alignment horizontal="center" vertical="center" wrapText="1"/>
    </xf>
    <xf numFmtId="164" fontId="3" fillId="0" borderId="1" xfId="1" applyFont="1" applyFill="1" applyBorder="1" applyAlignment="1">
      <alignment horizontal="right" vertical="center"/>
    </xf>
    <xf numFmtId="0" fontId="4" fillId="0" borderId="3" xfId="0" applyFont="1" applyBorder="1" applyAlignment="1">
      <alignment wrapText="1"/>
    </xf>
    <xf numFmtId="164" fontId="4" fillId="0" borderId="0" xfId="1" applyFont="1" applyFill="1"/>
    <xf numFmtId="164" fontId="3" fillId="0" borderId="1" xfId="1" applyFont="1" applyFill="1" applyBorder="1" applyAlignment="1">
      <alignment horizontal="center" vertical="center"/>
    </xf>
    <xf numFmtId="164" fontId="3" fillId="0" borderId="2" xfId="1" applyFont="1" applyFill="1" applyBorder="1" applyAlignment="1">
      <alignment horizontal="center" vertical="center" wrapText="1"/>
    </xf>
    <xf numFmtId="0" fontId="4" fillId="0" borderId="3" xfId="0" applyFont="1" applyBorder="1" applyAlignment="1">
      <alignment horizontal="center" vertical="center"/>
    </xf>
    <xf numFmtId="164" fontId="4" fillId="0" borderId="3" xfId="1" applyFont="1" applyFill="1" applyBorder="1"/>
    <xf numFmtId="0" fontId="3" fillId="0" borderId="3" xfId="0" applyFont="1" applyBorder="1" applyAlignment="1">
      <alignment wrapText="1"/>
    </xf>
    <xf numFmtId="0" fontId="8" fillId="0" borderId="3" xfId="0" applyFont="1" applyBorder="1" applyAlignment="1">
      <alignment wrapText="1"/>
    </xf>
    <xf numFmtId="0" fontId="9" fillId="0" borderId="3" xfId="0" applyFont="1" applyBorder="1" applyAlignment="1">
      <alignment wrapText="1"/>
    </xf>
    <xf numFmtId="0" fontId="4" fillId="0" borderId="1" xfId="0" applyFont="1" applyBorder="1" applyAlignment="1">
      <alignment horizontal="center" vertical="center"/>
    </xf>
    <xf numFmtId="164" fontId="4" fillId="0" borderId="1" xfId="1" applyFont="1" applyFill="1" applyBorder="1" applyAlignment="1">
      <alignment vertical="center"/>
    </xf>
    <xf numFmtId="164" fontId="4" fillId="0" borderId="2" xfId="1" applyFont="1" applyFill="1" applyBorder="1" applyAlignment="1">
      <alignment vertical="center"/>
    </xf>
    <xf numFmtId="164" fontId="3" fillId="0" borderId="1" xfId="1" applyFont="1" applyFill="1" applyBorder="1" applyAlignment="1">
      <alignment vertical="center"/>
    </xf>
    <xf numFmtId="164" fontId="4" fillId="0" borderId="0" xfId="1" applyFont="1" applyFill="1" applyBorder="1"/>
    <xf numFmtId="164" fontId="4" fillId="0" borderId="4" xfId="1" applyFont="1" applyFill="1" applyBorder="1"/>
    <xf numFmtId="0" fontId="3" fillId="0" borderId="3" xfId="0" applyFont="1" applyBorder="1" applyAlignment="1">
      <alignment horizontal="center" vertical="center" wrapText="1"/>
    </xf>
    <xf numFmtId="0" fontId="3" fillId="0" borderId="3" xfId="0" applyFont="1" applyBorder="1" applyAlignment="1">
      <alignment vertical="center" wrapText="1"/>
    </xf>
    <xf numFmtId="164" fontId="3" fillId="0" borderId="3" xfId="1" applyFont="1" applyFill="1" applyBorder="1" applyAlignment="1">
      <alignment horizontal="center" vertical="center"/>
    </xf>
    <xf numFmtId="164" fontId="3" fillId="0" borderId="0" xfId="1" applyFont="1" applyFill="1" applyBorder="1" applyAlignment="1">
      <alignment horizontal="center" vertical="center" wrapText="1"/>
    </xf>
    <xf numFmtId="164" fontId="3" fillId="0" borderId="3" xfId="1" applyFont="1" applyFill="1" applyBorder="1" applyAlignment="1">
      <alignment horizontal="right" vertical="center"/>
    </xf>
    <xf numFmtId="0" fontId="4" fillId="0" borderId="5" xfId="0" applyFont="1" applyBorder="1" applyAlignment="1">
      <alignment wrapText="1"/>
    </xf>
    <xf numFmtId="164" fontId="4" fillId="0" borderId="5" xfId="1" applyFont="1" applyFill="1" applyBorder="1"/>
    <xf numFmtId="0" fontId="3" fillId="0" borderId="1" xfId="0" applyFont="1" applyBorder="1" applyAlignment="1">
      <alignment wrapText="1"/>
    </xf>
    <xf numFmtId="164" fontId="4" fillId="0" borderId="1" xfId="1" applyFont="1" applyFill="1" applyBorder="1"/>
    <xf numFmtId="164" fontId="4" fillId="0" borderId="2" xfId="1" applyFont="1" applyFill="1" applyBorder="1"/>
    <xf numFmtId="164" fontId="3" fillId="0" borderId="1" xfId="1" applyFont="1" applyFill="1" applyBorder="1"/>
    <xf numFmtId="0" fontId="3" fillId="0" borderId="4" xfId="0" applyFont="1" applyBorder="1" applyAlignment="1">
      <alignment wrapText="1"/>
    </xf>
    <xf numFmtId="0" fontId="4" fillId="0" borderId="3" xfId="0" applyFont="1" applyBorder="1" applyAlignment="1">
      <alignment vertical="center" wrapText="1"/>
    </xf>
    <xf numFmtId="164" fontId="4" fillId="0" borderId="3" xfId="1" applyFont="1" applyFill="1" applyBorder="1" applyAlignment="1">
      <alignment vertical="center"/>
    </xf>
    <xf numFmtId="164" fontId="4" fillId="0" borderId="0" xfId="1" applyFont="1" applyFill="1" applyAlignment="1">
      <alignment vertical="center"/>
    </xf>
    <xf numFmtId="0" fontId="0" fillId="0" borderId="0" xfId="0" applyAlignment="1">
      <alignment vertical="center"/>
    </xf>
    <xf numFmtId="0" fontId="7" fillId="0" borderId="3" xfId="0" applyFont="1" applyBorder="1" applyAlignment="1">
      <alignment vertical="center" wrapText="1"/>
    </xf>
    <xf numFmtId="0" fontId="4" fillId="0" borderId="5" xfId="0" applyFont="1" applyBorder="1" applyAlignment="1">
      <alignment vertical="center" wrapText="1"/>
    </xf>
    <xf numFmtId="164" fontId="4" fillId="0" borderId="5" xfId="1" applyFont="1" applyFill="1" applyBorder="1" applyAlignment="1">
      <alignment vertical="center"/>
    </xf>
    <xf numFmtId="0" fontId="4" fillId="0" borderId="6" xfId="0" applyFont="1" applyBorder="1" applyAlignment="1">
      <alignment horizontal="center" vertical="center"/>
    </xf>
    <xf numFmtId="0" fontId="3" fillId="0" borderId="7" xfId="0" applyFont="1" applyBorder="1" applyAlignment="1">
      <alignment wrapText="1"/>
    </xf>
    <xf numFmtId="164" fontId="4" fillId="0" borderId="7" xfId="1" applyFont="1" applyFill="1" applyBorder="1"/>
    <xf numFmtId="164" fontId="3" fillId="0" borderId="8" xfId="1" applyFont="1" applyFill="1" applyBorder="1"/>
    <xf numFmtId="0" fontId="4" fillId="0" borderId="9" xfId="0" applyFont="1" applyBorder="1" applyAlignment="1">
      <alignment horizontal="center" vertical="center"/>
    </xf>
    <xf numFmtId="0" fontId="3" fillId="0" borderId="0" xfId="0" applyFont="1" applyBorder="1" applyAlignment="1">
      <alignment wrapText="1"/>
    </xf>
    <xf numFmtId="164" fontId="3" fillId="0" borderId="5" xfId="1" applyFont="1" applyFill="1" applyBorder="1"/>
    <xf numFmtId="0" fontId="4" fillId="0" borderId="10" xfId="0" applyFont="1" applyBorder="1" applyAlignment="1">
      <alignment horizontal="center" vertical="center"/>
    </xf>
    <xf numFmtId="164" fontId="4" fillId="0" borderId="11" xfId="1" applyFont="1" applyFill="1" applyBorder="1"/>
    <xf numFmtId="165" fontId="3" fillId="0" borderId="3" xfId="2" applyNumberFormat="1" applyFont="1" applyBorder="1" applyAlignment="1">
      <alignment horizontal="center" vertical="center"/>
    </xf>
    <xf numFmtId="0" fontId="3" fillId="0" borderId="0" xfId="0" applyFont="1" applyBorder="1" applyAlignment="1">
      <alignment horizont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Border="1" applyAlignment="1">
      <alignment horizontal="center" vertical="center" wrapText="1"/>
    </xf>
    <xf numFmtId="0" fontId="3" fillId="0" borderId="4" xfId="0" applyFont="1" applyBorder="1" applyAlignment="1">
      <alignment horizontal="center" vertical="center"/>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3" fillId="0" borderId="0" xfId="0" applyFont="1" applyBorder="1" applyAlignment="1">
      <alignment horizontal="center"/>
    </xf>
    <xf numFmtId="0" fontId="10" fillId="0" borderId="0" xfId="0" applyFont="1" applyBorder="1" applyAlignment="1">
      <alignment horizontal="center" vertical="center" wrapText="1"/>
    </xf>
    <xf numFmtId="0" fontId="3" fillId="0" borderId="4" xfId="0" applyFont="1" applyBorder="1" applyAlignment="1">
      <alignment horizontal="center" vertical="center" wrapText="1"/>
    </xf>
    <xf numFmtId="0" fontId="10" fillId="0" borderId="0" xfId="0" applyFont="1" applyBorder="1" applyAlignment="1">
      <alignment horizontal="center" vertical="center"/>
    </xf>
    <xf numFmtId="0" fontId="11" fillId="0" borderId="0" xfId="0" applyFont="1" applyBorder="1" applyAlignment="1">
      <alignment horizontal="center"/>
    </xf>
    <xf numFmtId="0" fontId="12" fillId="0" borderId="0" xfId="0" applyFont="1" applyBorder="1" applyAlignment="1">
      <alignment horizontal="center"/>
    </xf>
    <xf numFmtId="0" fontId="3" fillId="0" borderId="0" xfId="0" applyFont="1" applyAlignment="1">
      <alignment horizontal="center" wrapText="1"/>
    </xf>
  </cellXfs>
  <cellStyles count="6">
    <cellStyle name="Comma" xfId="1" builtinId="3"/>
    <cellStyle name="Comma 3" xfId="4" xr:uid="{8CFB4F55-B986-41D3-AAAF-39EF944BFAE0}"/>
    <cellStyle name="Comma 3 5" xfId="3" xr:uid="{A4CA2956-5502-494E-916D-AB1AD6EEA677}"/>
    <cellStyle name="Normal" xfId="0" builtinId="0"/>
    <cellStyle name="Normal 2" xfId="5" xr:uid="{4D0D33CC-F254-4DB2-BC5B-49BF11450072}"/>
    <cellStyle name="Normal 4 3" xfId="2" xr:uid="{5E2BC48D-EAC1-4B75-821C-8B957AAA45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048CC-A269-4DCB-B4A0-62BFB2BC99AD}">
  <dimension ref="A1:F1086"/>
  <sheetViews>
    <sheetView tabSelected="1" view="pageBreakPreview" zoomScaleNormal="100" zoomScaleSheetLayoutView="100" workbookViewId="0">
      <selection activeCell="B4" sqref="B4:E4"/>
    </sheetView>
  </sheetViews>
  <sheetFormatPr defaultRowHeight="14.4" x14ac:dyDescent="0.3"/>
  <cols>
    <col min="1" max="1" width="8.33203125" customWidth="1"/>
    <col min="2" max="2" width="56.33203125" customWidth="1"/>
    <col min="3" max="3" width="9.33203125" style="82" bestFit="1" customWidth="1"/>
    <col min="4" max="4" width="11.88671875" style="82" customWidth="1"/>
    <col min="5" max="5" width="15.109375" style="82" customWidth="1"/>
    <col min="6" max="6" width="20.44140625" customWidth="1"/>
  </cols>
  <sheetData>
    <row r="1" spans="1:6" x14ac:dyDescent="0.3">
      <c r="A1" s="51"/>
      <c r="B1" s="52"/>
      <c r="C1" s="73"/>
      <c r="D1" s="73"/>
      <c r="E1" s="73"/>
      <c r="F1" s="53"/>
    </row>
    <row r="2" spans="1:6" ht="14.4" customHeight="1" x14ac:dyDescent="0.3">
      <c r="A2" s="90"/>
      <c r="B2" s="327" t="s">
        <v>62</v>
      </c>
      <c r="C2" s="327"/>
      <c r="D2" s="327"/>
      <c r="E2" s="327"/>
      <c r="F2" s="91"/>
    </row>
    <row r="3" spans="1:6" x14ac:dyDescent="0.3">
      <c r="A3" s="86"/>
      <c r="B3" s="327" t="s">
        <v>63</v>
      </c>
      <c r="C3" s="327"/>
      <c r="D3" s="327"/>
      <c r="E3" s="327"/>
      <c r="F3" s="65"/>
    </row>
    <row r="4" spans="1:6" x14ac:dyDescent="0.3">
      <c r="A4" s="86"/>
      <c r="B4" s="329" t="s">
        <v>533</v>
      </c>
      <c r="C4" s="329"/>
      <c r="D4" s="329"/>
      <c r="E4" s="329"/>
      <c r="F4" s="65"/>
    </row>
    <row r="5" spans="1:6" x14ac:dyDescent="0.3">
      <c r="A5" s="66"/>
      <c r="B5" s="330" t="s">
        <v>64</v>
      </c>
      <c r="C5" s="330"/>
      <c r="D5" s="330"/>
      <c r="E5" s="330"/>
      <c r="F5" s="67"/>
    </row>
    <row r="6" spans="1:6" x14ac:dyDescent="0.3">
      <c r="A6" s="66"/>
      <c r="B6" s="331" t="s">
        <v>72</v>
      </c>
      <c r="C6" s="331"/>
      <c r="D6" s="331"/>
      <c r="E6" s="331"/>
      <c r="F6" s="67"/>
    </row>
    <row r="7" spans="1:6" x14ac:dyDescent="0.3">
      <c r="A7" s="54"/>
      <c r="B7" s="55"/>
      <c r="C7" s="74"/>
      <c r="D7" s="74"/>
      <c r="E7" s="74"/>
      <c r="F7" s="56"/>
    </row>
    <row r="8" spans="1:6" x14ac:dyDescent="0.3">
      <c r="A8" s="1" t="s">
        <v>284</v>
      </c>
      <c r="B8" s="2" t="s">
        <v>1</v>
      </c>
      <c r="C8" s="3" t="s">
        <v>2</v>
      </c>
      <c r="D8" s="4" t="s">
        <v>3</v>
      </c>
      <c r="E8" s="237" t="s">
        <v>4</v>
      </c>
      <c r="F8" s="5" t="s">
        <v>5</v>
      </c>
    </row>
    <row r="9" spans="1:6" x14ac:dyDescent="0.3">
      <c r="A9" s="6"/>
      <c r="B9" s="7"/>
      <c r="C9" s="8"/>
      <c r="D9" s="9"/>
      <c r="E9" s="238"/>
      <c r="F9" s="10"/>
    </row>
    <row r="10" spans="1:6" x14ac:dyDescent="0.3">
      <c r="A10" s="11"/>
      <c r="B10" s="7" t="s">
        <v>6</v>
      </c>
      <c r="C10" s="13"/>
      <c r="D10" s="14"/>
      <c r="E10" s="239"/>
      <c r="F10" s="10"/>
    </row>
    <row r="11" spans="1:6" x14ac:dyDescent="0.3">
      <c r="A11" s="11"/>
      <c r="B11" s="7"/>
      <c r="C11" s="13"/>
      <c r="D11" s="14"/>
      <c r="E11" s="239"/>
      <c r="F11" s="10"/>
    </row>
    <row r="12" spans="1:6" ht="41.4" x14ac:dyDescent="0.3">
      <c r="A12" s="11"/>
      <c r="B12" s="265" t="s">
        <v>7</v>
      </c>
      <c r="C12" s="13"/>
      <c r="D12" s="14"/>
      <c r="E12" s="239"/>
      <c r="F12" s="10"/>
    </row>
    <row r="13" spans="1:6" x14ac:dyDescent="0.3">
      <c r="A13" s="11"/>
      <c r="B13" s="12"/>
      <c r="C13" s="13"/>
      <c r="D13" s="14"/>
      <c r="E13" s="239"/>
      <c r="F13" s="10"/>
    </row>
    <row r="14" spans="1:6" ht="42" x14ac:dyDescent="0.3">
      <c r="A14" s="11" t="s">
        <v>8</v>
      </c>
      <c r="B14" s="15" t="s">
        <v>9</v>
      </c>
      <c r="C14" s="13"/>
      <c r="D14" s="14"/>
      <c r="E14" s="239"/>
      <c r="F14" s="10"/>
    </row>
    <row r="15" spans="1:6" x14ac:dyDescent="0.3">
      <c r="A15" s="11"/>
      <c r="B15" s="16"/>
      <c r="C15" s="13"/>
      <c r="D15" s="14"/>
      <c r="E15" s="239"/>
      <c r="F15" s="10"/>
    </row>
    <row r="16" spans="1:6" ht="55.8" x14ac:dyDescent="0.3">
      <c r="A16" s="11" t="s">
        <v>10</v>
      </c>
      <c r="B16" s="15" t="s">
        <v>11</v>
      </c>
      <c r="C16" s="13"/>
      <c r="D16" s="14"/>
      <c r="E16" s="239"/>
      <c r="F16" s="10"/>
    </row>
    <row r="17" spans="1:6" x14ac:dyDescent="0.3">
      <c r="A17" s="11"/>
      <c r="B17" s="17"/>
      <c r="C17" s="13"/>
      <c r="D17" s="14"/>
      <c r="E17" s="239"/>
      <c r="F17" s="10"/>
    </row>
    <row r="18" spans="1:6" ht="28.2" x14ac:dyDescent="0.3">
      <c r="A18" s="11" t="s">
        <v>12</v>
      </c>
      <c r="B18" s="15" t="s">
        <v>13</v>
      </c>
      <c r="C18" s="13"/>
      <c r="D18" s="14"/>
      <c r="E18" s="239"/>
      <c r="F18" s="10"/>
    </row>
    <row r="19" spans="1:6" x14ac:dyDescent="0.3">
      <c r="A19" s="11"/>
      <c r="B19" s="17"/>
      <c r="C19" s="13"/>
      <c r="D19" s="14"/>
      <c r="E19" s="239"/>
      <c r="F19" s="10"/>
    </row>
    <row r="20" spans="1:6" ht="42" x14ac:dyDescent="0.3">
      <c r="A20" s="11" t="s">
        <v>14</v>
      </c>
      <c r="B20" s="15" t="s">
        <v>15</v>
      </c>
      <c r="C20" s="13"/>
      <c r="D20" s="14"/>
      <c r="E20" s="239"/>
      <c r="F20" s="10"/>
    </row>
    <row r="21" spans="1:6" x14ac:dyDescent="0.3">
      <c r="A21" s="11"/>
      <c r="B21" s="17"/>
      <c r="C21" s="13"/>
      <c r="D21" s="14"/>
      <c r="E21" s="239"/>
      <c r="F21" s="10"/>
    </row>
    <row r="22" spans="1:6" ht="55.8" x14ac:dyDescent="0.3">
      <c r="A22" s="11" t="s">
        <v>16</v>
      </c>
      <c r="B22" s="15" t="s">
        <v>17</v>
      </c>
      <c r="C22" s="13"/>
      <c r="D22" s="14"/>
      <c r="E22" s="239"/>
      <c r="F22" s="10"/>
    </row>
    <row r="23" spans="1:6" x14ac:dyDescent="0.3">
      <c r="A23" s="11"/>
      <c r="B23" s="17"/>
      <c r="C23" s="13"/>
      <c r="D23" s="14"/>
      <c r="E23" s="239"/>
      <c r="F23" s="10"/>
    </row>
    <row r="24" spans="1:6" ht="42" x14ac:dyDescent="0.3">
      <c r="A24" s="11" t="s">
        <v>18</v>
      </c>
      <c r="B24" s="15" t="s">
        <v>19</v>
      </c>
      <c r="C24" s="13"/>
      <c r="D24" s="14"/>
      <c r="E24" s="239"/>
      <c r="F24" s="10"/>
    </row>
    <row r="25" spans="1:6" x14ac:dyDescent="0.3">
      <c r="A25" s="11"/>
      <c r="B25" s="17"/>
      <c r="C25" s="13"/>
      <c r="D25" s="14"/>
      <c r="E25" s="239"/>
      <c r="F25" s="10"/>
    </row>
    <row r="26" spans="1:6" ht="42" x14ac:dyDescent="0.3">
      <c r="A26" s="11" t="s">
        <v>20</v>
      </c>
      <c r="B26" s="15" t="s">
        <v>21</v>
      </c>
      <c r="C26" s="13"/>
      <c r="D26" s="14"/>
      <c r="E26" s="239"/>
      <c r="F26" s="10"/>
    </row>
    <row r="27" spans="1:6" x14ac:dyDescent="0.3">
      <c r="A27" s="11"/>
      <c r="B27" s="17"/>
      <c r="C27" s="13"/>
      <c r="D27" s="14"/>
      <c r="E27" s="239"/>
      <c r="F27" s="10"/>
    </row>
    <row r="28" spans="1:6" ht="42" x14ac:dyDescent="0.3">
      <c r="A28" s="11" t="s">
        <v>22</v>
      </c>
      <c r="B28" s="15" t="s">
        <v>23</v>
      </c>
      <c r="C28" s="13"/>
      <c r="D28" s="14"/>
      <c r="E28" s="239"/>
      <c r="F28" s="10"/>
    </row>
    <row r="29" spans="1:6" x14ac:dyDescent="0.3">
      <c r="A29" s="11"/>
      <c r="B29" s="17"/>
      <c r="C29" s="13"/>
      <c r="D29" s="14"/>
      <c r="E29" s="239"/>
      <c r="F29" s="10"/>
    </row>
    <row r="30" spans="1:6" ht="28.2" x14ac:dyDescent="0.3">
      <c r="A30" s="11" t="s">
        <v>24</v>
      </c>
      <c r="B30" s="15" t="s">
        <v>25</v>
      </c>
      <c r="C30" s="13"/>
      <c r="D30" s="14"/>
      <c r="E30" s="239"/>
      <c r="F30" s="10"/>
    </row>
    <row r="31" spans="1:6" x14ac:dyDescent="0.3">
      <c r="A31" s="11"/>
      <c r="B31" s="17"/>
      <c r="C31" s="13"/>
      <c r="D31" s="14"/>
      <c r="E31" s="239"/>
      <c r="F31" s="10"/>
    </row>
    <row r="32" spans="1:6" ht="28.2" x14ac:dyDescent="0.3">
      <c r="A32" s="11" t="s">
        <v>26</v>
      </c>
      <c r="B32" s="15" t="s">
        <v>28</v>
      </c>
      <c r="C32" s="13"/>
      <c r="D32" s="14"/>
      <c r="E32" s="239"/>
      <c r="F32" s="10"/>
    </row>
    <row r="33" spans="1:6" x14ac:dyDescent="0.3">
      <c r="A33" s="11"/>
      <c r="B33" s="15"/>
      <c r="C33" s="13"/>
      <c r="D33" s="14"/>
      <c r="E33" s="239"/>
      <c r="F33" s="10"/>
    </row>
    <row r="34" spans="1:6" ht="42" x14ac:dyDescent="0.3">
      <c r="A34" s="11" t="s">
        <v>27</v>
      </c>
      <c r="B34" s="15" t="s">
        <v>73</v>
      </c>
      <c r="C34" s="13"/>
      <c r="D34" s="14"/>
      <c r="E34" s="239"/>
      <c r="F34" s="10"/>
    </row>
    <row r="35" spans="1:6" x14ac:dyDescent="0.3">
      <c r="A35" s="11"/>
      <c r="B35" s="18"/>
      <c r="C35" s="13"/>
      <c r="D35" s="14"/>
      <c r="E35" s="239"/>
      <c r="F35" s="10"/>
    </row>
    <row r="36" spans="1:6" ht="28.2" x14ac:dyDescent="0.3">
      <c r="A36" s="11" t="s">
        <v>29</v>
      </c>
      <c r="B36" s="15" t="s">
        <v>31</v>
      </c>
      <c r="C36" s="13"/>
      <c r="D36" s="14"/>
      <c r="E36" s="239"/>
      <c r="F36" s="10"/>
    </row>
    <row r="37" spans="1:6" x14ac:dyDescent="0.3">
      <c r="A37" s="11"/>
      <c r="B37" s="17"/>
      <c r="C37" s="13"/>
      <c r="D37" s="14"/>
      <c r="E37" s="239"/>
      <c r="F37" s="10"/>
    </row>
    <row r="38" spans="1:6" ht="28.2" x14ac:dyDescent="0.3">
      <c r="A38" s="11" t="s">
        <v>30</v>
      </c>
      <c r="B38" s="19" t="s">
        <v>33</v>
      </c>
      <c r="C38" s="13"/>
      <c r="D38" s="14"/>
      <c r="E38" s="239"/>
      <c r="F38" s="10"/>
    </row>
    <row r="39" spans="1:6" x14ac:dyDescent="0.3">
      <c r="A39" s="11"/>
      <c r="B39" s="17"/>
      <c r="C39" s="13"/>
      <c r="D39" s="14"/>
      <c r="E39" s="239"/>
      <c r="F39" s="10"/>
    </row>
    <row r="40" spans="1:6" ht="55.8" x14ac:dyDescent="0.3">
      <c r="A40" s="11" t="s">
        <v>32</v>
      </c>
      <c r="B40" s="15" t="s">
        <v>34</v>
      </c>
      <c r="C40" s="13"/>
      <c r="D40" s="14"/>
      <c r="E40" s="239"/>
      <c r="F40" s="10"/>
    </row>
    <row r="41" spans="1:6" x14ac:dyDescent="0.3">
      <c r="A41" s="59"/>
      <c r="B41" s="92"/>
      <c r="C41" s="78"/>
      <c r="D41" s="78"/>
      <c r="E41" s="78"/>
      <c r="F41" s="93"/>
    </row>
    <row r="42" spans="1:6" x14ac:dyDescent="0.3">
      <c r="A42" s="62"/>
      <c r="B42" s="316" t="s">
        <v>474</v>
      </c>
      <c r="C42" s="316"/>
      <c r="D42" s="316"/>
      <c r="E42" s="316"/>
      <c r="F42" s="45"/>
    </row>
    <row r="43" spans="1:6" x14ac:dyDescent="0.3">
      <c r="A43" s="62"/>
      <c r="B43" s="316" t="s">
        <v>175</v>
      </c>
      <c r="C43" s="316"/>
      <c r="D43" s="316"/>
      <c r="E43" s="316"/>
      <c r="F43" s="45"/>
    </row>
    <row r="44" spans="1:6" x14ac:dyDescent="0.3">
      <c r="A44" s="267" t="s">
        <v>284</v>
      </c>
      <c r="B44" s="268" t="s">
        <v>1</v>
      </c>
      <c r="C44" s="269" t="s">
        <v>2</v>
      </c>
      <c r="D44" s="270" t="s">
        <v>3</v>
      </c>
      <c r="E44" s="269" t="s">
        <v>4</v>
      </c>
      <c r="F44" s="271" t="s">
        <v>5</v>
      </c>
    </row>
    <row r="45" spans="1:6" x14ac:dyDescent="0.3">
      <c r="A45" s="94"/>
      <c r="B45" s="95"/>
      <c r="C45" s="96"/>
      <c r="D45" s="96"/>
      <c r="E45" s="96"/>
      <c r="F45" s="97"/>
    </row>
    <row r="46" spans="1:6" x14ac:dyDescent="0.3">
      <c r="A46" s="11"/>
      <c r="B46" s="20" t="s">
        <v>35</v>
      </c>
      <c r="C46" s="98"/>
      <c r="D46" s="14"/>
      <c r="E46" s="99"/>
      <c r="F46" s="10"/>
    </row>
    <row r="47" spans="1:6" x14ac:dyDescent="0.3">
      <c r="A47" s="11"/>
      <c r="B47" s="18"/>
      <c r="C47" s="98"/>
      <c r="D47" s="14"/>
      <c r="E47" s="99"/>
      <c r="F47" s="10"/>
    </row>
    <row r="48" spans="1:6" s="50" customFormat="1" ht="27.6" x14ac:dyDescent="0.3">
      <c r="A48" s="11" t="s">
        <v>36</v>
      </c>
      <c r="B48" s="48" t="s">
        <v>37</v>
      </c>
      <c r="C48" s="98" t="s">
        <v>38</v>
      </c>
      <c r="D48" s="14">
        <v>1</v>
      </c>
      <c r="E48" s="99"/>
      <c r="F48" s="49">
        <f>D48*E48</f>
        <v>0</v>
      </c>
    </row>
    <row r="49" spans="1:6" x14ac:dyDescent="0.3">
      <c r="A49" s="11"/>
      <c r="B49" s="18"/>
      <c r="C49" s="98"/>
      <c r="D49" s="14"/>
      <c r="E49" s="99"/>
      <c r="F49" s="21"/>
    </row>
    <row r="50" spans="1:6" ht="28.2" x14ac:dyDescent="0.3">
      <c r="A50" s="11" t="s">
        <v>39</v>
      </c>
      <c r="B50" s="22" t="s">
        <v>41</v>
      </c>
      <c r="C50" s="98" t="s">
        <v>38</v>
      </c>
      <c r="D50" s="14">
        <v>1</v>
      </c>
      <c r="E50" s="99"/>
      <c r="F50" s="21">
        <f>D50*E50</f>
        <v>0</v>
      </c>
    </row>
    <row r="51" spans="1:6" x14ac:dyDescent="0.3">
      <c r="A51" s="11"/>
      <c r="B51" s="18"/>
      <c r="C51" s="98"/>
      <c r="D51" s="14"/>
      <c r="E51" s="99"/>
      <c r="F51" s="10"/>
    </row>
    <row r="52" spans="1:6" ht="28.2" x14ac:dyDescent="0.3">
      <c r="A52" s="23"/>
      <c r="B52" s="24" t="s">
        <v>42</v>
      </c>
      <c r="C52" s="23"/>
      <c r="D52" s="25"/>
      <c r="E52" s="100" t="s">
        <v>43</v>
      </c>
      <c r="F52" s="26">
        <f>SUM(F47:F51)</f>
        <v>0</v>
      </c>
    </row>
    <row r="53" spans="1:6" x14ac:dyDescent="0.3">
      <c r="A53" s="27"/>
      <c r="B53" s="28"/>
      <c r="C53" s="68"/>
      <c r="D53" s="68"/>
      <c r="E53" s="68"/>
      <c r="F53" s="29"/>
    </row>
    <row r="54" spans="1:6" x14ac:dyDescent="0.3">
      <c r="A54" s="27"/>
      <c r="B54" s="332" t="s">
        <v>475</v>
      </c>
      <c r="C54" s="332"/>
      <c r="D54" s="332"/>
      <c r="E54" s="332"/>
      <c r="F54" s="29"/>
    </row>
    <row r="55" spans="1:6" x14ac:dyDescent="0.3">
      <c r="A55" s="27"/>
      <c r="B55" s="332" t="s">
        <v>282</v>
      </c>
      <c r="C55" s="332"/>
      <c r="D55" s="332"/>
      <c r="E55" s="332"/>
      <c r="F55" s="29"/>
    </row>
    <row r="56" spans="1:6" x14ac:dyDescent="0.3">
      <c r="A56" s="27"/>
      <c r="B56" s="28"/>
      <c r="C56" s="68"/>
      <c r="D56" s="68"/>
      <c r="E56" s="68"/>
      <c r="F56" s="29"/>
    </row>
    <row r="57" spans="1:6" x14ac:dyDescent="0.3">
      <c r="A57" s="267" t="s">
        <v>284</v>
      </c>
      <c r="B57" s="268" t="s">
        <v>1</v>
      </c>
      <c r="C57" s="269" t="s">
        <v>2</v>
      </c>
      <c r="D57" s="270" t="s">
        <v>3</v>
      </c>
      <c r="E57" s="269" t="s">
        <v>4</v>
      </c>
      <c r="F57" s="271" t="s">
        <v>5</v>
      </c>
    </row>
    <row r="58" spans="1:6" x14ac:dyDescent="0.3">
      <c r="A58" s="31"/>
      <c r="B58" s="19"/>
      <c r="C58" s="75"/>
      <c r="D58" s="68"/>
      <c r="E58" s="75"/>
      <c r="F58" s="32"/>
    </row>
    <row r="59" spans="1:6" x14ac:dyDescent="0.3">
      <c r="A59" s="71">
        <v>1</v>
      </c>
      <c r="B59" s="33" t="s">
        <v>74</v>
      </c>
      <c r="C59" s="75"/>
      <c r="D59" s="68"/>
      <c r="E59" s="75"/>
      <c r="F59" s="32"/>
    </row>
    <row r="60" spans="1:6" x14ac:dyDescent="0.3">
      <c r="A60" s="31"/>
      <c r="B60" s="19"/>
      <c r="C60" s="75"/>
      <c r="D60" s="68"/>
      <c r="E60" s="75"/>
      <c r="F60" s="32"/>
    </row>
    <row r="61" spans="1:6" x14ac:dyDescent="0.3">
      <c r="A61" s="31"/>
      <c r="B61" s="35" t="s">
        <v>75</v>
      </c>
      <c r="C61" s="75"/>
      <c r="D61" s="68"/>
      <c r="E61" s="75"/>
      <c r="F61" s="32"/>
    </row>
    <row r="62" spans="1:6" x14ac:dyDescent="0.3">
      <c r="A62" s="31"/>
      <c r="B62" s="19"/>
      <c r="C62" s="75"/>
      <c r="D62" s="68"/>
      <c r="E62" s="75"/>
      <c r="F62" s="32"/>
    </row>
    <row r="63" spans="1:6" s="50" customFormat="1" x14ac:dyDescent="0.3">
      <c r="A63" s="31"/>
      <c r="B63" s="69" t="s">
        <v>76</v>
      </c>
      <c r="C63" s="76"/>
      <c r="D63" s="197"/>
      <c r="E63" s="76"/>
      <c r="F63" s="70">
        <f>D63*E63</f>
        <v>0</v>
      </c>
    </row>
    <row r="64" spans="1:6" s="50" customFormat="1" x14ac:dyDescent="0.3">
      <c r="A64" s="31"/>
      <c r="B64" s="69"/>
      <c r="C64" s="76"/>
      <c r="D64" s="197"/>
      <c r="E64" s="76"/>
      <c r="F64" s="70"/>
    </row>
    <row r="65" spans="1:6" s="50" customFormat="1" ht="41.4" x14ac:dyDescent="0.3">
      <c r="A65" s="31" t="s">
        <v>77</v>
      </c>
      <c r="B65" s="69" t="s">
        <v>78</v>
      </c>
      <c r="C65" s="76"/>
      <c r="D65" s="197"/>
      <c r="E65" s="76"/>
      <c r="F65" s="70"/>
    </row>
    <row r="66" spans="1:6" s="50" customFormat="1" x14ac:dyDescent="0.3">
      <c r="A66" s="31"/>
      <c r="B66" s="69" t="s">
        <v>79</v>
      </c>
      <c r="C66" s="76"/>
      <c r="D66" s="197"/>
      <c r="E66" s="76"/>
      <c r="F66" s="70"/>
    </row>
    <row r="67" spans="1:6" s="50" customFormat="1" x14ac:dyDescent="0.3">
      <c r="A67" s="31"/>
      <c r="B67" s="69"/>
      <c r="C67" s="76"/>
      <c r="D67" s="197"/>
      <c r="E67" s="76"/>
      <c r="F67" s="70"/>
    </row>
    <row r="68" spans="1:6" s="50" customFormat="1" ht="27.6" x14ac:dyDescent="0.3">
      <c r="A68" s="31" t="s">
        <v>36</v>
      </c>
      <c r="B68" s="69" t="s">
        <v>80</v>
      </c>
      <c r="C68" s="76" t="s">
        <v>65</v>
      </c>
      <c r="D68" s="197">
        <v>160</v>
      </c>
      <c r="E68" s="76"/>
      <c r="F68" s="70">
        <f>D68*E68</f>
        <v>0</v>
      </c>
    </row>
    <row r="69" spans="1:6" s="50" customFormat="1" x14ac:dyDescent="0.3">
      <c r="A69" s="31"/>
      <c r="B69" s="69"/>
      <c r="C69" s="76"/>
      <c r="D69" s="197"/>
      <c r="E69" s="76"/>
      <c r="F69" s="70"/>
    </row>
    <row r="70" spans="1:6" s="50" customFormat="1" ht="41.4" x14ac:dyDescent="0.3">
      <c r="A70" s="31" t="s">
        <v>39</v>
      </c>
      <c r="B70" s="69" t="s">
        <v>81</v>
      </c>
      <c r="C70" s="76" t="s">
        <v>65</v>
      </c>
      <c r="D70" s="197">
        <v>160</v>
      </c>
      <c r="E70" s="76"/>
      <c r="F70" s="70">
        <f>D70*E70</f>
        <v>0</v>
      </c>
    </row>
    <row r="71" spans="1:6" s="50" customFormat="1" x14ac:dyDescent="0.3">
      <c r="A71" s="31"/>
      <c r="B71" s="69"/>
      <c r="C71" s="76"/>
      <c r="D71" s="197"/>
      <c r="E71" s="76"/>
      <c r="F71" s="70"/>
    </row>
    <row r="72" spans="1:6" s="50" customFormat="1" ht="55.2" x14ac:dyDescent="0.3">
      <c r="A72" s="31" t="s">
        <v>40</v>
      </c>
      <c r="B72" s="69" t="s">
        <v>82</v>
      </c>
      <c r="C72" s="76" t="s">
        <v>66</v>
      </c>
      <c r="D72" s="197">
        <v>28</v>
      </c>
      <c r="E72" s="76"/>
      <c r="F72" s="70">
        <f>D72*E72</f>
        <v>0</v>
      </c>
    </row>
    <row r="73" spans="1:6" s="50" customFormat="1" x14ac:dyDescent="0.3">
      <c r="A73" s="31"/>
      <c r="B73" s="69"/>
      <c r="C73" s="76"/>
      <c r="D73" s="197"/>
      <c r="E73" s="76"/>
      <c r="F73" s="70"/>
    </row>
    <row r="74" spans="1:6" s="50" customFormat="1" ht="27.6" x14ac:dyDescent="0.3">
      <c r="A74" s="31" t="s">
        <v>44</v>
      </c>
      <c r="B74" s="69" t="s">
        <v>83</v>
      </c>
      <c r="C74" s="76" t="s">
        <v>66</v>
      </c>
      <c r="D74" s="197">
        <v>8</v>
      </c>
      <c r="E74" s="76"/>
      <c r="F74" s="70">
        <f>D74*E74</f>
        <v>0</v>
      </c>
    </row>
    <row r="75" spans="1:6" s="50" customFormat="1" x14ac:dyDescent="0.3">
      <c r="A75" s="31"/>
      <c r="B75" s="69"/>
      <c r="C75" s="76"/>
      <c r="D75" s="197"/>
      <c r="E75" s="76"/>
      <c r="F75" s="70"/>
    </row>
    <row r="76" spans="1:6" s="50" customFormat="1" ht="27.6" x14ac:dyDescent="0.3">
      <c r="A76" s="31" t="s">
        <v>46</v>
      </c>
      <c r="B76" s="69" t="s">
        <v>84</v>
      </c>
      <c r="C76" s="76" t="s">
        <v>66</v>
      </c>
      <c r="D76" s="197">
        <v>18</v>
      </c>
      <c r="E76" s="76"/>
      <c r="F76" s="70">
        <f>D76*E76</f>
        <v>0</v>
      </c>
    </row>
    <row r="77" spans="1:6" s="50" customFormat="1" x14ac:dyDescent="0.3">
      <c r="A77" s="31"/>
      <c r="B77" s="69"/>
      <c r="C77" s="76"/>
      <c r="D77" s="197"/>
      <c r="E77" s="76"/>
      <c r="F77" s="70"/>
    </row>
    <row r="78" spans="1:6" s="50" customFormat="1" ht="27.6" x14ac:dyDescent="0.3">
      <c r="A78" s="31" t="s">
        <v>48</v>
      </c>
      <c r="B78" s="69" t="s">
        <v>85</v>
      </c>
      <c r="C78" s="76" t="s">
        <v>38</v>
      </c>
      <c r="D78" s="197">
        <v>5</v>
      </c>
      <c r="E78" s="76"/>
      <c r="F78" s="70">
        <f>D78*E78</f>
        <v>0</v>
      </c>
    </row>
    <row r="79" spans="1:6" s="50" customFormat="1" x14ac:dyDescent="0.3">
      <c r="A79" s="31"/>
      <c r="B79" s="69"/>
      <c r="C79" s="76"/>
      <c r="D79" s="197"/>
      <c r="E79" s="76"/>
      <c r="F79" s="70"/>
    </row>
    <row r="80" spans="1:6" s="50" customFormat="1" x14ac:dyDescent="0.3">
      <c r="A80" s="31" t="s">
        <v>50</v>
      </c>
      <c r="B80" s="69" t="s">
        <v>86</v>
      </c>
      <c r="C80" s="76" t="s">
        <v>65</v>
      </c>
      <c r="D80" s="197">
        <v>49</v>
      </c>
      <c r="E80" s="76"/>
      <c r="F80" s="70">
        <f>D80*E80</f>
        <v>0</v>
      </c>
    </row>
    <row r="81" spans="1:6" s="50" customFormat="1" x14ac:dyDescent="0.3">
      <c r="A81" s="31"/>
      <c r="B81" s="69"/>
      <c r="C81" s="76"/>
      <c r="D81" s="197"/>
      <c r="E81" s="76"/>
      <c r="F81" s="70"/>
    </row>
    <row r="82" spans="1:6" s="50" customFormat="1" ht="41.4" x14ac:dyDescent="0.3">
      <c r="A82" s="31" t="s">
        <v>51</v>
      </c>
      <c r="B82" s="69" t="s">
        <v>87</v>
      </c>
      <c r="C82" s="76" t="s">
        <v>65</v>
      </c>
      <c r="D82" s="197">
        <v>255</v>
      </c>
      <c r="E82" s="76"/>
      <c r="F82" s="70">
        <f>D82*E82</f>
        <v>0</v>
      </c>
    </row>
    <row r="83" spans="1:6" s="50" customFormat="1" x14ac:dyDescent="0.3">
      <c r="A83" s="31"/>
      <c r="B83" s="69"/>
      <c r="C83" s="76"/>
      <c r="D83" s="197"/>
      <c r="E83" s="76"/>
      <c r="F83" s="70"/>
    </row>
    <row r="84" spans="1:6" s="50" customFormat="1" ht="41.4" x14ac:dyDescent="0.3">
      <c r="A84" s="31" t="s">
        <v>55</v>
      </c>
      <c r="B84" s="69" t="s">
        <v>88</v>
      </c>
      <c r="C84" s="76" t="s">
        <v>38</v>
      </c>
      <c r="D84" s="197">
        <v>1</v>
      </c>
      <c r="E84" s="76"/>
      <c r="F84" s="70">
        <f>D84*E84</f>
        <v>0</v>
      </c>
    </row>
    <row r="85" spans="1:6" s="50" customFormat="1" x14ac:dyDescent="0.3">
      <c r="A85" s="31"/>
      <c r="B85" s="69"/>
      <c r="C85" s="76"/>
      <c r="D85" s="197"/>
      <c r="E85" s="76"/>
      <c r="F85" s="70"/>
    </row>
    <row r="86" spans="1:6" s="50" customFormat="1" ht="55.2" x14ac:dyDescent="0.3">
      <c r="A86" s="31" t="s">
        <v>70</v>
      </c>
      <c r="B86" s="69" t="s">
        <v>89</v>
      </c>
      <c r="C86" s="76" t="s">
        <v>38</v>
      </c>
      <c r="D86" s="197">
        <v>1</v>
      </c>
      <c r="E86" s="76"/>
      <c r="F86" s="70">
        <f>D86*E86</f>
        <v>0</v>
      </c>
    </row>
    <row r="87" spans="1:6" s="50" customFormat="1" x14ac:dyDescent="0.3">
      <c r="A87" s="31"/>
      <c r="B87" s="69"/>
      <c r="C87" s="76"/>
      <c r="D87" s="197"/>
      <c r="E87" s="76"/>
      <c r="F87" s="70"/>
    </row>
    <row r="88" spans="1:6" s="50" customFormat="1" ht="41.4" x14ac:dyDescent="0.3">
      <c r="A88" s="31" t="s">
        <v>60</v>
      </c>
      <c r="B88" s="69" t="s">
        <v>143</v>
      </c>
      <c r="C88" s="76" t="s">
        <v>66</v>
      </c>
      <c r="D88" s="197">
        <v>20</v>
      </c>
      <c r="E88" s="76"/>
      <c r="F88" s="70">
        <f>D88*E88</f>
        <v>0</v>
      </c>
    </row>
    <row r="89" spans="1:6" s="50" customFormat="1" x14ac:dyDescent="0.3">
      <c r="A89" s="31"/>
      <c r="B89" s="69"/>
      <c r="C89" s="76"/>
      <c r="D89" s="197"/>
      <c r="E89" s="76"/>
      <c r="F89" s="70"/>
    </row>
    <row r="90" spans="1:6" s="50" customFormat="1" ht="27.6" x14ac:dyDescent="0.3">
      <c r="A90" s="31" t="s">
        <v>90</v>
      </c>
      <c r="B90" s="69" t="s">
        <v>91</v>
      </c>
      <c r="C90" s="76" t="s">
        <v>66</v>
      </c>
      <c r="D90" s="197">
        <v>24</v>
      </c>
      <c r="E90" s="76"/>
      <c r="F90" s="70">
        <f>D90*E90</f>
        <v>0</v>
      </c>
    </row>
    <row r="91" spans="1:6" s="50" customFormat="1" x14ac:dyDescent="0.3">
      <c r="A91" s="31"/>
      <c r="B91" s="69"/>
      <c r="C91" s="76"/>
      <c r="D91" s="197"/>
      <c r="E91" s="76"/>
      <c r="F91" s="70"/>
    </row>
    <row r="92" spans="1:6" s="50" customFormat="1" x14ac:dyDescent="0.3">
      <c r="A92" s="31"/>
      <c r="B92" s="88" t="s">
        <v>92</v>
      </c>
      <c r="C92" s="76"/>
      <c r="D92" s="197"/>
      <c r="E92" s="76"/>
      <c r="F92" s="70"/>
    </row>
    <row r="93" spans="1:6" s="50" customFormat="1" x14ac:dyDescent="0.3">
      <c r="A93" s="31"/>
      <c r="B93" s="69"/>
      <c r="C93" s="76"/>
      <c r="D93" s="197"/>
      <c r="E93" s="76"/>
      <c r="F93" s="70"/>
    </row>
    <row r="94" spans="1:6" s="50" customFormat="1" ht="41.4" x14ac:dyDescent="0.3">
      <c r="A94" s="31" t="s">
        <v>93</v>
      </c>
      <c r="B94" s="69" t="s">
        <v>94</v>
      </c>
      <c r="C94" s="76" t="s">
        <v>66</v>
      </c>
      <c r="D94" s="197">
        <v>55</v>
      </c>
      <c r="E94" s="76"/>
      <c r="F94" s="70">
        <f>D94*E94</f>
        <v>0</v>
      </c>
    </row>
    <row r="95" spans="1:6" s="50" customFormat="1" x14ac:dyDescent="0.3">
      <c r="A95" s="31"/>
      <c r="B95" s="69"/>
      <c r="C95" s="76"/>
      <c r="D95" s="197"/>
      <c r="E95" s="76"/>
      <c r="F95" s="70"/>
    </row>
    <row r="96" spans="1:6" s="50" customFormat="1" ht="55.2" x14ac:dyDescent="0.3">
      <c r="A96" s="31" t="s">
        <v>95</v>
      </c>
      <c r="B96" s="69" t="s">
        <v>97</v>
      </c>
      <c r="C96" s="76" t="s">
        <v>65</v>
      </c>
      <c r="D96" s="197">
        <v>130</v>
      </c>
      <c r="E96" s="76"/>
      <c r="F96" s="70">
        <f>D96*E96</f>
        <v>0</v>
      </c>
    </row>
    <row r="97" spans="1:6" s="50" customFormat="1" x14ac:dyDescent="0.3">
      <c r="A97" s="31"/>
      <c r="B97" s="69"/>
      <c r="C97" s="76"/>
      <c r="D97" s="197"/>
      <c r="E97" s="76"/>
      <c r="F97" s="70"/>
    </row>
    <row r="98" spans="1:6" s="50" customFormat="1" x14ac:dyDescent="0.3">
      <c r="A98" s="31"/>
      <c r="B98" s="88" t="s">
        <v>98</v>
      </c>
      <c r="C98" s="76"/>
      <c r="D98" s="197"/>
      <c r="E98" s="76"/>
      <c r="F98" s="70"/>
    </row>
    <row r="99" spans="1:6" s="50" customFormat="1" x14ac:dyDescent="0.3">
      <c r="A99" s="31"/>
      <c r="B99" s="69"/>
      <c r="C99" s="76"/>
      <c r="D99" s="197"/>
      <c r="E99" s="76"/>
      <c r="F99" s="70"/>
    </row>
    <row r="100" spans="1:6" s="50" customFormat="1" x14ac:dyDescent="0.3">
      <c r="A100" s="31"/>
      <c r="B100" s="88" t="s">
        <v>99</v>
      </c>
      <c r="C100" s="76"/>
      <c r="D100" s="197"/>
      <c r="E100" s="76"/>
      <c r="F100" s="70"/>
    </row>
    <row r="101" spans="1:6" s="50" customFormat="1" x14ac:dyDescent="0.3">
      <c r="A101" s="31"/>
      <c r="B101" s="69"/>
      <c r="C101" s="76"/>
      <c r="D101" s="197"/>
      <c r="E101" s="76"/>
      <c r="F101" s="70"/>
    </row>
    <row r="102" spans="1:6" s="50" customFormat="1" x14ac:dyDescent="0.3">
      <c r="A102" s="31" t="s">
        <v>96</v>
      </c>
      <c r="B102" s="69" t="s">
        <v>101</v>
      </c>
      <c r="C102" s="76" t="s">
        <v>66</v>
      </c>
      <c r="D102" s="197">
        <v>2.35</v>
      </c>
      <c r="E102" s="76"/>
      <c r="F102" s="70">
        <f>D102*E102</f>
        <v>0</v>
      </c>
    </row>
    <row r="103" spans="1:6" s="50" customFormat="1" x14ac:dyDescent="0.3">
      <c r="A103" s="31"/>
      <c r="B103" s="69"/>
      <c r="C103" s="76"/>
      <c r="D103" s="197"/>
      <c r="E103" s="76"/>
      <c r="F103" s="70"/>
    </row>
    <row r="104" spans="1:6" s="50" customFormat="1" ht="27.6" x14ac:dyDescent="0.3">
      <c r="A104" s="31"/>
      <c r="B104" s="88" t="s">
        <v>102</v>
      </c>
      <c r="C104" s="76"/>
      <c r="D104" s="197"/>
      <c r="E104" s="76"/>
      <c r="F104" s="70"/>
    </row>
    <row r="105" spans="1:6" s="50" customFormat="1" x14ac:dyDescent="0.3">
      <c r="A105" s="31"/>
      <c r="B105" s="69"/>
      <c r="C105" s="76"/>
      <c r="D105" s="197"/>
      <c r="E105" s="76"/>
      <c r="F105" s="70"/>
    </row>
    <row r="106" spans="1:6" s="50" customFormat="1" x14ac:dyDescent="0.3">
      <c r="A106" s="31" t="s">
        <v>100</v>
      </c>
      <c r="B106" s="69" t="s">
        <v>104</v>
      </c>
      <c r="C106" s="76" t="s">
        <v>66</v>
      </c>
      <c r="D106" s="197">
        <v>8</v>
      </c>
      <c r="E106" s="76"/>
      <c r="F106" s="70">
        <f>D106*E106</f>
        <v>0</v>
      </c>
    </row>
    <row r="107" spans="1:6" s="50" customFormat="1" x14ac:dyDescent="0.3">
      <c r="A107" s="31"/>
      <c r="B107" s="69"/>
      <c r="C107" s="76"/>
      <c r="D107" s="197"/>
      <c r="E107" s="76"/>
      <c r="F107" s="70"/>
    </row>
    <row r="108" spans="1:6" s="50" customFormat="1" x14ac:dyDescent="0.3">
      <c r="A108" s="31" t="s">
        <v>103</v>
      </c>
      <c r="B108" s="69" t="s">
        <v>106</v>
      </c>
      <c r="C108" s="76" t="s">
        <v>66</v>
      </c>
      <c r="D108" s="197">
        <v>3</v>
      </c>
      <c r="E108" s="76"/>
      <c r="F108" s="70">
        <f>D108*E108</f>
        <v>0</v>
      </c>
    </row>
    <row r="109" spans="1:6" s="50" customFormat="1" x14ac:dyDescent="0.3">
      <c r="A109" s="31"/>
      <c r="B109" s="69"/>
      <c r="C109" s="76"/>
      <c r="D109" s="197"/>
      <c r="E109" s="76"/>
      <c r="F109" s="70"/>
    </row>
    <row r="110" spans="1:6" s="50" customFormat="1" x14ac:dyDescent="0.3">
      <c r="A110" s="31" t="s">
        <v>105</v>
      </c>
      <c r="B110" s="69" t="s">
        <v>108</v>
      </c>
      <c r="C110" s="76" t="s">
        <v>66</v>
      </c>
      <c r="D110" s="197">
        <v>2</v>
      </c>
      <c r="E110" s="76"/>
      <c r="F110" s="70">
        <f>D110*E110</f>
        <v>0</v>
      </c>
    </row>
    <row r="111" spans="1:6" s="50" customFormat="1" x14ac:dyDescent="0.3">
      <c r="A111" s="31"/>
      <c r="B111" s="69"/>
      <c r="C111" s="76"/>
      <c r="D111" s="197"/>
      <c r="E111" s="76"/>
      <c r="F111" s="70"/>
    </row>
    <row r="112" spans="1:6" s="50" customFormat="1" x14ac:dyDescent="0.3">
      <c r="A112" s="31" t="s">
        <v>107</v>
      </c>
      <c r="B112" s="69" t="s">
        <v>144</v>
      </c>
      <c r="C112" s="76" t="s">
        <v>66</v>
      </c>
      <c r="D112" s="197">
        <v>5</v>
      </c>
      <c r="E112" s="76"/>
      <c r="F112" s="70">
        <f>D112*E112</f>
        <v>0</v>
      </c>
    </row>
    <row r="113" spans="1:6" s="50" customFormat="1" x14ac:dyDescent="0.3">
      <c r="A113" s="31"/>
      <c r="B113" s="69"/>
      <c r="C113" s="76"/>
      <c r="D113" s="197"/>
      <c r="E113" s="76"/>
      <c r="F113" s="70"/>
    </row>
    <row r="114" spans="1:6" s="50" customFormat="1" ht="27.6" x14ac:dyDescent="0.3">
      <c r="A114" s="31" t="s">
        <v>109</v>
      </c>
      <c r="B114" s="69" t="s">
        <v>145</v>
      </c>
      <c r="C114" s="76" t="s">
        <v>66</v>
      </c>
      <c r="D114" s="197">
        <v>28</v>
      </c>
      <c r="E114" s="76"/>
      <c r="F114" s="70">
        <f>D114*E114</f>
        <v>0</v>
      </c>
    </row>
    <row r="115" spans="1:6" s="50" customFormat="1" x14ac:dyDescent="0.3">
      <c r="A115" s="31"/>
      <c r="B115" s="69"/>
      <c r="C115" s="76"/>
      <c r="D115" s="197"/>
      <c r="E115" s="76"/>
      <c r="F115" s="70"/>
    </row>
    <row r="116" spans="1:6" s="50" customFormat="1" x14ac:dyDescent="0.3">
      <c r="A116" s="31" t="s">
        <v>110</v>
      </c>
      <c r="B116" s="69" t="s">
        <v>113</v>
      </c>
      <c r="C116" s="76" t="s">
        <v>66</v>
      </c>
      <c r="D116" s="197">
        <v>1</v>
      </c>
      <c r="E116" s="76"/>
      <c r="F116" s="70">
        <f>D116*E116</f>
        <v>0</v>
      </c>
    </row>
    <row r="117" spans="1:6" s="50" customFormat="1" x14ac:dyDescent="0.3">
      <c r="A117" s="31"/>
      <c r="B117" s="69"/>
      <c r="C117" s="76"/>
      <c r="D117" s="197"/>
      <c r="E117" s="76"/>
      <c r="F117" s="70"/>
    </row>
    <row r="118" spans="1:6" s="50" customFormat="1" x14ac:dyDescent="0.3">
      <c r="A118" s="31" t="s">
        <v>111</v>
      </c>
      <c r="B118" s="69" t="s">
        <v>164</v>
      </c>
      <c r="C118" s="76" t="s">
        <v>66</v>
      </c>
      <c r="D118" s="197">
        <v>2</v>
      </c>
      <c r="E118" s="76"/>
      <c r="F118" s="70">
        <f>D118*E118</f>
        <v>0</v>
      </c>
    </row>
    <row r="119" spans="1:6" s="50" customFormat="1" x14ac:dyDescent="0.3">
      <c r="A119" s="31"/>
      <c r="B119" s="69"/>
      <c r="C119" s="76"/>
      <c r="D119" s="197"/>
      <c r="E119" s="76"/>
      <c r="F119" s="70"/>
    </row>
    <row r="120" spans="1:6" s="50" customFormat="1" x14ac:dyDescent="0.3">
      <c r="A120" s="31"/>
      <c r="B120" s="88" t="s">
        <v>67</v>
      </c>
      <c r="C120" s="76"/>
      <c r="D120" s="197"/>
      <c r="E120" s="76"/>
      <c r="F120" s="70"/>
    </row>
    <row r="121" spans="1:6" s="50" customFormat="1" x14ac:dyDescent="0.3">
      <c r="A121" s="31"/>
      <c r="B121" s="69"/>
      <c r="C121" s="76"/>
      <c r="D121" s="197"/>
      <c r="E121" s="76"/>
      <c r="F121" s="70"/>
    </row>
    <row r="122" spans="1:6" s="50" customFormat="1" ht="41.4" x14ac:dyDescent="0.3">
      <c r="A122" s="31"/>
      <c r="B122" s="88" t="s">
        <v>68</v>
      </c>
      <c r="C122" s="76"/>
      <c r="D122" s="197"/>
      <c r="E122" s="76"/>
      <c r="F122" s="70"/>
    </row>
    <row r="123" spans="1:6" s="50" customFormat="1" x14ac:dyDescent="0.3">
      <c r="A123" s="31"/>
      <c r="B123" s="69"/>
      <c r="C123" s="76"/>
      <c r="D123" s="197"/>
      <c r="E123" s="76"/>
      <c r="F123" s="70"/>
    </row>
    <row r="124" spans="1:6" s="50" customFormat="1" ht="27.6" x14ac:dyDescent="0.3">
      <c r="A124" s="31" t="s">
        <v>112</v>
      </c>
      <c r="B124" s="69" t="s">
        <v>116</v>
      </c>
      <c r="C124" s="76" t="s">
        <v>142</v>
      </c>
      <c r="D124" s="197">
        <v>62</v>
      </c>
      <c r="E124" s="76"/>
      <c r="F124" s="70">
        <f>D124*E124</f>
        <v>0</v>
      </c>
    </row>
    <row r="125" spans="1:6" s="50" customFormat="1" x14ac:dyDescent="0.3">
      <c r="A125" s="31"/>
      <c r="B125" s="69"/>
      <c r="C125" s="76"/>
      <c r="D125" s="197"/>
      <c r="E125" s="76"/>
      <c r="F125" s="70"/>
    </row>
    <row r="126" spans="1:6" s="50" customFormat="1" x14ac:dyDescent="0.3">
      <c r="A126" s="31" t="s">
        <v>114</v>
      </c>
      <c r="B126" s="69" t="s">
        <v>118</v>
      </c>
      <c r="C126" s="76" t="s">
        <v>142</v>
      </c>
      <c r="D126" s="197">
        <v>18</v>
      </c>
      <c r="E126" s="76"/>
      <c r="F126" s="70">
        <f>D126*E126</f>
        <v>0</v>
      </c>
    </row>
    <row r="127" spans="1:6" s="50" customFormat="1" x14ac:dyDescent="0.3">
      <c r="A127" s="31"/>
      <c r="B127" s="69"/>
      <c r="C127" s="76"/>
      <c r="D127" s="197"/>
      <c r="E127" s="76"/>
      <c r="F127" s="70"/>
    </row>
    <row r="128" spans="1:6" s="50" customFormat="1" ht="41.4" x14ac:dyDescent="0.3">
      <c r="A128" s="31"/>
      <c r="B128" s="88" t="s">
        <v>119</v>
      </c>
      <c r="C128" s="76"/>
      <c r="D128" s="197"/>
      <c r="E128" s="76"/>
      <c r="F128" s="70"/>
    </row>
    <row r="129" spans="1:6" s="50" customFormat="1" x14ac:dyDescent="0.3">
      <c r="A129" s="31"/>
      <c r="B129" s="69"/>
      <c r="C129" s="76"/>
      <c r="D129" s="197"/>
      <c r="E129" s="76"/>
      <c r="F129" s="70"/>
    </row>
    <row r="130" spans="1:6" s="50" customFormat="1" ht="55.2" x14ac:dyDescent="0.3">
      <c r="A130" s="31" t="s">
        <v>115</v>
      </c>
      <c r="B130" s="69" t="s">
        <v>121</v>
      </c>
      <c r="C130" s="76" t="s">
        <v>65</v>
      </c>
      <c r="D130" s="197">
        <v>153</v>
      </c>
      <c r="E130" s="76"/>
      <c r="F130" s="70">
        <f>D130*E130</f>
        <v>0</v>
      </c>
    </row>
    <row r="131" spans="1:6" s="50" customFormat="1" x14ac:dyDescent="0.3">
      <c r="A131" s="31"/>
      <c r="B131" s="69"/>
      <c r="C131" s="76"/>
      <c r="D131" s="197"/>
      <c r="E131" s="76"/>
      <c r="F131" s="70"/>
    </row>
    <row r="132" spans="1:6" s="50" customFormat="1" x14ac:dyDescent="0.3">
      <c r="A132" s="31" t="s">
        <v>117</v>
      </c>
      <c r="B132" s="69" t="s">
        <v>123</v>
      </c>
      <c r="C132" s="76" t="s">
        <v>65</v>
      </c>
      <c r="D132" s="197">
        <v>40</v>
      </c>
      <c r="E132" s="76"/>
      <c r="F132" s="70">
        <f>D132*E132</f>
        <v>0</v>
      </c>
    </row>
    <row r="133" spans="1:6" s="50" customFormat="1" x14ac:dyDescent="0.3">
      <c r="A133" s="31"/>
      <c r="B133" s="69"/>
      <c r="C133" s="76"/>
      <c r="D133" s="197"/>
      <c r="E133" s="76"/>
      <c r="F133" s="70"/>
    </row>
    <row r="134" spans="1:6" s="50" customFormat="1" x14ac:dyDescent="0.3">
      <c r="A134" s="31"/>
      <c r="B134" s="88" t="s">
        <v>59</v>
      </c>
      <c r="C134" s="76"/>
      <c r="D134" s="197"/>
      <c r="E134" s="76"/>
      <c r="F134" s="70"/>
    </row>
    <row r="135" spans="1:6" s="50" customFormat="1" x14ac:dyDescent="0.3">
      <c r="A135" s="31"/>
      <c r="B135" s="69"/>
      <c r="C135" s="76"/>
      <c r="D135" s="197"/>
      <c r="E135" s="76"/>
      <c r="F135" s="70"/>
    </row>
    <row r="136" spans="1:6" s="50" customFormat="1" x14ac:dyDescent="0.3">
      <c r="A136" s="31"/>
      <c r="B136" s="88" t="s">
        <v>124</v>
      </c>
      <c r="C136" s="76"/>
      <c r="D136" s="197"/>
      <c r="E136" s="76"/>
      <c r="F136" s="70"/>
    </row>
    <row r="137" spans="1:6" s="50" customFormat="1" x14ac:dyDescent="0.3">
      <c r="A137" s="31"/>
      <c r="B137" s="69"/>
      <c r="C137" s="76"/>
      <c r="D137" s="197"/>
      <c r="E137" s="76"/>
      <c r="F137" s="70"/>
    </row>
    <row r="138" spans="1:6" s="50" customFormat="1" x14ac:dyDescent="0.3">
      <c r="A138" s="31" t="s">
        <v>120</v>
      </c>
      <c r="B138" s="69" t="s">
        <v>126</v>
      </c>
      <c r="C138" s="76" t="s">
        <v>65</v>
      </c>
      <c r="D138" s="197">
        <v>9</v>
      </c>
      <c r="E138" s="76"/>
      <c r="F138" s="70">
        <f>D138*E138</f>
        <v>0</v>
      </c>
    </row>
    <row r="139" spans="1:6" s="50" customFormat="1" x14ac:dyDescent="0.3">
      <c r="A139" s="31"/>
      <c r="B139" s="69"/>
      <c r="C139" s="76"/>
      <c r="D139" s="197"/>
      <c r="E139" s="76"/>
      <c r="F139" s="70"/>
    </row>
    <row r="140" spans="1:6" s="50" customFormat="1" ht="27.6" x14ac:dyDescent="0.3">
      <c r="A140" s="31" t="s">
        <v>122</v>
      </c>
      <c r="B140" s="69" t="s">
        <v>128</v>
      </c>
      <c r="C140" s="76" t="s">
        <v>52</v>
      </c>
      <c r="D140" s="197">
        <v>48</v>
      </c>
      <c r="E140" s="76"/>
      <c r="F140" s="70">
        <f>D140*E140</f>
        <v>0</v>
      </c>
    </row>
    <row r="141" spans="1:6" s="50" customFormat="1" x14ac:dyDescent="0.3">
      <c r="A141" s="31"/>
      <c r="B141" s="69"/>
      <c r="C141" s="76"/>
      <c r="D141" s="197"/>
      <c r="E141" s="76"/>
      <c r="F141" s="70"/>
    </row>
    <row r="142" spans="1:6" s="50" customFormat="1" x14ac:dyDescent="0.3">
      <c r="A142" s="31"/>
      <c r="B142" s="89" t="s">
        <v>132</v>
      </c>
      <c r="C142" s="76"/>
      <c r="D142" s="197"/>
      <c r="E142" s="76"/>
      <c r="F142" s="70"/>
    </row>
    <row r="143" spans="1:6" s="50" customFormat="1" x14ac:dyDescent="0.3">
      <c r="A143" s="31"/>
      <c r="B143" s="69"/>
      <c r="C143" s="76"/>
      <c r="D143" s="197"/>
      <c r="E143" s="76"/>
      <c r="F143" s="70"/>
    </row>
    <row r="144" spans="1:6" s="50" customFormat="1" ht="41.4" x14ac:dyDescent="0.3">
      <c r="A144" s="31"/>
      <c r="B144" s="88" t="s">
        <v>133</v>
      </c>
      <c r="C144" s="76"/>
      <c r="D144" s="197"/>
      <c r="E144" s="76"/>
      <c r="F144" s="70"/>
    </row>
    <row r="145" spans="1:6" s="50" customFormat="1" x14ac:dyDescent="0.3">
      <c r="A145" s="31"/>
      <c r="B145" s="69"/>
      <c r="C145" s="76"/>
      <c r="D145" s="197"/>
      <c r="E145" s="76"/>
      <c r="F145" s="70"/>
    </row>
    <row r="146" spans="1:6" s="50" customFormat="1" x14ac:dyDescent="0.3">
      <c r="A146" s="31" t="s">
        <v>125</v>
      </c>
      <c r="B146" s="69" t="s">
        <v>135</v>
      </c>
      <c r="C146" s="76" t="s">
        <v>65</v>
      </c>
      <c r="D146" s="197">
        <v>53</v>
      </c>
      <c r="E146" s="76"/>
      <c r="F146" s="70">
        <f>D146*E146</f>
        <v>0</v>
      </c>
    </row>
    <row r="147" spans="1:6" s="50" customFormat="1" x14ac:dyDescent="0.3">
      <c r="A147" s="31"/>
      <c r="B147" s="69"/>
      <c r="C147" s="76"/>
      <c r="D147" s="197"/>
      <c r="E147" s="76"/>
      <c r="F147" s="70"/>
    </row>
    <row r="148" spans="1:6" s="50" customFormat="1" x14ac:dyDescent="0.3">
      <c r="A148" s="31"/>
      <c r="B148" s="88" t="s">
        <v>136</v>
      </c>
      <c r="C148" s="76"/>
      <c r="D148" s="197"/>
      <c r="E148" s="76"/>
      <c r="F148" s="70"/>
    </row>
    <row r="149" spans="1:6" s="50" customFormat="1" x14ac:dyDescent="0.3">
      <c r="A149" s="31"/>
      <c r="B149" s="69"/>
      <c r="C149" s="76"/>
      <c r="D149" s="197"/>
      <c r="E149" s="76"/>
      <c r="F149" s="70"/>
    </row>
    <row r="150" spans="1:6" s="50" customFormat="1" ht="41.4" x14ac:dyDescent="0.3">
      <c r="A150" s="31" t="s">
        <v>127</v>
      </c>
      <c r="B150" s="69" t="s">
        <v>137</v>
      </c>
      <c r="C150" s="76" t="s">
        <v>52</v>
      </c>
      <c r="D150" s="197">
        <v>67</v>
      </c>
      <c r="E150" s="76"/>
      <c r="F150" s="70">
        <f>D150*E150</f>
        <v>0</v>
      </c>
    </row>
    <row r="151" spans="1:6" s="50" customFormat="1" x14ac:dyDescent="0.3">
      <c r="A151" s="31"/>
      <c r="B151" s="69"/>
      <c r="C151" s="76"/>
      <c r="D151" s="197"/>
      <c r="E151" s="76"/>
      <c r="F151" s="70"/>
    </row>
    <row r="152" spans="1:6" s="50" customFormat="1" x14ac:dyDescent="0.3">
      <c r="A152" s="31"/>
      <c r="B152" s="88" t="s">
        <v>138</v>
      </c>
      <c r="C152" s="76"/>
      <c r="D152" s="197"/>
      <c r="E152" s="76"/>
      <c r="F152" s="70"/>
    </row>
    <row r="153" spans="1:6" s="50" customFormat="1" x14ac:dyDescent="0.3">
      <c r="A153" s="31"/>
      <c r="B153" s="69"/>
      <c r="C153" s="76"/>
      <c r="D153" s="197"/>
      <c r="E153" s="76"/>
      <c r="F153" s="70"/>
    </row>
    <row r="154" spans="1:6" s="50" customFormat="1" x14ac:dyDescent="0.3">
      <c r="A154" s="31" t="s">
        <v>130</v>
      </c>
      <c r="B154" s="69" t="s">
        <v>139</v>
      </c>
      <c r="C154" s="76" t="s">
        <v>65</v>
      </c>
      <c r="D154" s="197">
        <v>38</v>
      </c>
      <c r="E154" s="76"/>
      <c r="F154" s="70">
        <f>D154*E154</f>
        <v>0</v>
      </c>
    </row>
    <row r="155" spans="1:6" s="50" customFormat="1" x14ac:dyDescent="0.3">
      <c r="A155" s="31"/>
      <c r="B155" s="69"/>
      <c r="C155" s="76"/>
      <c r="D155" s="197"/>
      <c r="E155" s="76"/>
      <c r="F155" s="70"/>
    </row>
    <row r="156" spans="1:6" s="50" customFormat="1" ht="27.6" x14ac:dyDescent="0.3">
      <c r="A156" s="31"/>
      <c r="B156" s="88" t="s">
        <v>140</v>
      </c>
      <c r="C156" s="76"/>
      <c r="D156" s="197"/>
      <c r="E156" s="76"/>
      <c r="F156" s="70"/>
    </row>
    <row r="157" spans="1:6" s="50" customFormat="1" x14ac:dyDescent="0.3">
      <c r="A157" s="31"/>
      <c r="B157" s="69"/>
      <c r="C157" s="76"/>
      <c r="D157" s="197"/>
      <c r="E157" s="76"/>
      <c r="F157" s="70"/>
    </row>
    <row r="158" spans="1:6" s="50" customFormat="1" x14ac:dyDescent="0.3">
      <c r="A158" s="31" t="s">
        <v>134</v>
      </c>
      <c r="B158" s="69" t="s">
        <v>141</v>
      </c>
      <c r="C158" s="76" t="s">
        <v>65</v>
      </c>
      <c r="D158" s="197">
        <v>38</v>
      </c>
      <c r="E158" s="76"/>
      <c r="F158" s="70">
        <f>D158*E158</f>
        <v>0</v>
      </c>
    </row>
    <row r="159" spans="1:6" s="50" customFormat="1" x14ac:dyDescent="0.3">
      <c r="A159" s="31"/>
      <c r="B159" s="69"/>
      <c r="C159" s="76"/>
      <c r="D159" s="197"/>
      <c r="E159" s="76"/>
      <c r="F159" s="70"/>
    </row>
    <row r="160" spans="1:6" s="50" customFormat="1" ht="27.6" x14ac:dyDescent="0.3">
      <c r="A160" s="87"/>
      <c r="B160" s="2" t="s">
        <v>163</v>
      </c>
      <c r="C160" s="30"/>
      <c r="D160" s="3"/>
      <c r="E160" s="242" t="s">
        <v>43</v>
      </c>
      <c r="F160" s="58">
        <f>SUM(F68:F158)</f>
        <v>0</v>
      </c>
    </row>
    <row r="161" spans="1:6" s="50" customFormat="1" x14ac:dyDescent="0.3">
      <c r="A161" s="31"/>
      <c r="B161" s="69"/>
      <c r="C161" s="76"/>
      <c r="D161" s="197"/>
      <c r="E161" s="76"/>
      <c r="F161" s="70"/>
    </row>
    <row r="162" spans="1:6" s="50" customFormat="1" x14ac:dyDescent="0.3">
      <c r="A162" s="71">
        <v>2</v>
      </c>
      <c r="B162" s="40" t="s">
        <v>146</v>
      </c>
      <c r="C162" s="76"/>
      <c r="D162" s="197"/>
      <c r="E162" s="76"/>
      <c r="F162" s="70"/>
    </row>
    <row r="163" spans="1:6" s="50" customFormat="1" x14ac:dyDescent="0.3">
      <c r="A163" s="31"/>
      <c r="B163" s="69"/>
      <c r="C163" s="76"/>
      <c r="D163" s="197"/>
      <c r="E163" s="76"/>
      <c r="F163" s="70"/>
    </row>
    <row r="164" spans="1:6" s="50" customFormat="1" x14ac:dyDescent="0.3">
      <c r="A164" s="31"/>
      <c r="B164" s="89" t="s">
        <v>57</v>
      </c>
      <c r="C164" s="76"/>
      <c r="D164" s="197"/>
      <c r="E164" s="76"/>
      <c r="F164" s="70"/>
    </row>
    <row r="165" spans="1:6" s="50" customFormat="1" x14ac:dyDescent="0.3">
      <c r="A165" s="31"/>
      <c r="B165" s="69"/>
      <c r="C165" s="76"/>
      <c r="D165" s="197"/>
      <c r="E165" s="76"/>
      <c r="F165" s="70"/>
    </row>
    <row r="166" spans="1:6" s="50" customFormat="1" ht="27.6" x14ac:dyDescent="0.3">
      <c r="A166" s="31"/>
      <c r="B166" s="88" t="s">
        <v>147</v>
      </c>
      <c r="C166" s="76"/>
      <c r="D166" s="197"/>
      <c r="E166" s="76"/>
      <c r="F166" s="70"/>
    </row>
    <row r="167" spans="1:6" s="50" customFormat="1" x14ac:dyDescent="0.3">
      <c r="A167" s="31"/>
      <c r="B167" s="69"/>
      <c r="C167" s="76"/>
      <c r="D167" s="197"/>
      <c r="E167" s="76"/>
      <c r="F167" s="70"/>
    </row>
    <row r="168" spans="1:6" s="50" customFormat="1" x14ac:dyDescent="0.3">
      <c r="A168" s="31" t="s">
        <v>36</v>
      </c>
      <c r="B168" s="69" t="s">
        <v>148</v>
      </c>
      <c r="C168" s="76" t="s">
        <v>154</v>
      </c>
      <c r="D168" s="197">
        <v>2</v>
      </c>
      <c r="E168" s="76"/>
      <c r="F168" s="70">
        <f>D168*E168</f>
        <v>0</v>
      </c>
    </row>
    <row r="169" spans="1:6" s="50" customFormat="1" x14ac:dyDescent="0.3">
      <c r="A169" s="31"/>
      <c r="B169" s="69"/>
      <c r="C169" s="76"/>
      <c r="D169" s="197"/>
      <c r="E169" s="76"/>
      <c r="F169" s="70"/>
    </row>
    <row r="170" spans="1:6" s="50" customFormat="1" x14ac:dyDescent="0.3">
      <c r="A170" s="31"/>
      <c r="B170" s="88" t="s">
        <v>67</v>
      </c>
      <c r="C170" s="76"/>
      <c r="D170" s="197"/>
      <c r="E170" s="76"/>
      <c r="F170" s="70"/>
    </row>
    <row r="171" spans="1:6" s="50" customFormat="1" x14ac:dyDescent="0.3">
      <c r="A171" s="31"/>
      <c r="B171" s="69"/>
      <c r="C171" s="76"/>
      <c r="D171" s="197"/>
      <c r="E171" s="76"/>
      <c r="F171" s="70"/>
    </row>
    <row r="172" spans="1:6" s="50" customFormat="1" ht="41.4" x14ac:dyDescent="0.3">
      <c r="A172" s="31"/>
      <c r="B172" s="88" t="s">
        <v>149</v>
      </c>
      <c r="C172" s="76"/>
      <c r="D172" s="197"/>
      <c r="E172" s="76"/>
      <c r="F172" s="70"/>
    </row>
    <row r="173" spans="1:6" s="50" customFormat="1" x14ac:dyDescent="0.3">
      <c r="A173" s="31"/>
      <c r="B173" s="69"/>
      <c r="C173" s="76"/>
      <c r="D173" s="197"/>
      <c r="E173" s="76"/>
      <c r="F173" s="70"/>
    </row>
    <row r="174" spans="1:6" s="50" customFormat="1" x14ac:dyDescent="0.3">
      <c r="A174" s="31" t="s">
        <v>46</v>
      </c>
      <c r="B174" s="69" t="s">
        <v>150</v>
      </c>
      <c r="C174" s="76" t="s">
        <v>155</v>
      </c>
      <c r="D174" s="197">
        <v>125</v>
      </c>
      <c r="E174" s="76"/>
      <c r="F174" s="70">
        <f>D174*E174</f>
        <v>0</v>
      </c>
    </row>
    <row r="175" spans="1:6" s="50" customFormat="1" x14ac:dyDescent="0.3">
      <c r="A175" s="31"/>
      <c r="B175" s="69"/>
      <c r="C175" s="76"/>
      <c r="D175" s="197"/>
      <c r="E175" s="76"/>
      <c r="F175" s="70"/>
    </row>
    <row r="176" spans="1:6" s="50" customFormat="1" ht="41.4" x14ac:dyDescent="0.3">
      <c r="A176" s="31"/>
      <c r="B176" s="88" t="s">
        <v>151</v>
      </c>
      <c r="C176" s="76"/>
      <c r="D176" s="197"/>
      <c r="E176" s="76"/>
      <c r="F176" s="70"/>
    </row>
    <row r="177" spans="1:6" s="50" customFormat="1" x14ac:dyDescent="0.3">
      <c r="A177" s="31"/>
      <c r="B177" s="69"/>
      <c r="C177" s="76"/>
      <c r="D177" s="197"/>
      <c r="E177" s="76"/>
      <c r="F177" s="70"/>
    </row>
    <row r="178" spans="1:6" s="50" customFormat="1" ht="27.6" x14ac:dyDescent="0.3">
      <c r="A178" s="31" t="s">
        <v>48</v>
      </c>
      <c r="B178" s="69" t="s">
        <v>152</v>
      </c>
      <c r="C178" s="76" t="s">
        <v>142</v>
      </c>
      <c r="D178" s="197">
        <v>178</v>
      </c>
      <c r="E178" s="76"/>
      <c r="F178" s="70">
        <f>D178*E178</f>
        <v>0</v>
      </c>
    </row>
    <row r="179" spans="1:6" s="50" customFormat="1" x14ac:dyDescent="0.3">
      <c r="A179" s="31"/>
      <c r="B179" s="69"/>
      <c r="C179" s="76"/>
      <c r="D179" s="197"/>
      <c r="E179" s="76"/>
      <c r="F179" s="70"/>
    </row>
    <row r="180" spans="1:6" s="50" customFormat="1" x14ac:dyDescent="0.3">
      <c r="A180" s="31"/>
      <c r="B180" s="89" t="s">
        <v>59</v>
      </c>
      <c r="C180" s="76"/>
      <c r="D180" s="197"/>
      <c r="E180" s="76"/>
      <c r="F180" s="70"/>
    </row>
    <row r="181" spans="1:6" s="50" customFormat="1" x14ac:dyDescent="0.3">
      <c r="A181" s="31"/>
      <c r="B181" s="69"/>
      <c r="C181" s="76"/>
      <c r="D181" s="197"/>
      <c r="E181" s="76"/>
      <c r="F181" s="70"/>
    </row>
    <row r="182" spans="1:6" s="50" customFormat="1" x14ac:dyDescent="0.3">
      <c r="A182" s="31"/>
      <c r="B182" s="88" t="s">
        <v>124</v>
      </c>
      <c r="C182" s="76"/>
      <c r="D182" s="197"/>
      <c r="E182" s="76"/>
      <c r="F182" s="70"/>
    </row>
    <row r="183" spans="1:6" s="50" customFormat="1" x14ac:dyDescent="0.3">
      <c r="A183" s="31"/>
      <c r="B183" s="69"/>
      <c r="C183" s="76"/>
      <c r="D183" s="197"/>
      <c r="E183" s="76"/>
      <c r="F183" s="70"/>
    </row>
    <row r="184" spans="1:6" s="50" customFormat="1" x14ac:dyDescent="0.3">
      <c r="A184" s="31" t="s">
        <v>51</v>
      </c>
      <c r="B184" s="69" t="s">
        <v>153</v>
      </c>
      <c r="C184" s="76" t="s">
        <v>65</v>
      </c>
      <c r="D184" s="197">
        <v>10</v>
      </c>
      <c r="E184" s="76"/>
      <c r="F184" s="70">
        <f>D184*E184</f>
        <v>0</v>
      </c>
    </row>
    <row r="185" spans="1:6" s="50" customFormat="1" x14ac:dyDescent="0.3">
      <c r="A185" s="31"/>
      <c r="B185" s="69"/>
      <c r="C185" s="76"/>
      <c r="D185" s="197"/>
      <c r="E185" s="76"/>
      <c r="F185" s="70"/>
    </row>
    <row r="186" spans="1:6" s="50" customFormat="1" x14ac:dyDescent="0.3">
      <c r="A186" s="31"/>
      <c r="B186" s="69"/>
      <c r="C186" s="76"/>
      <c r="D186" s="197"/>
      <c r="E186" s="76"/>
      <c r="F186" s="70"/>
    </row>
    <row r="187" spans="1:6" s="50" customFormat="1" ht="27.6" x14ac:dyDescent="0.3">
      <c r="A187" s="87"/>
      <c r="B187" s="2" t="s">
        <v>162</v>
      </c>
      <c r="C187" s="30"/>
      <c r="D187" s="30"/>
      <c r="E187" s="242" t="s">
        <v>43</v>
      </c>
      <c r="F187" s="58">
        <f>SUM(F168:F184)</f>
        <v>0</v>
      </c>
    </row>
    <row r="188" spans="1:6" s="50" customFormat="1" x14ac:dyDescent="0.3">
      <c r="A188" s="31"/>
      <c r="B188" s="69"/>
      <c r="C188" s="76"/>
      <c r="D188" s="197"/>
      <c r="E188" s="76"/>
      <c r="F188" s="70"/>
    </row>
    <row r="189" spans="1:6" s="50" customFormat="1" x14ac:dyDescent="0.3">
      <c r="A189" s="71">
        <v>3</v>
      </c>
      <c r="B189" s="40" t="s">
        <v>132</v>
      </c>
      <c r="C189" s="76"/>
      <c r="D189" s="197"/>
      <c r="E189" s="76"/>
      <c r="F189" s="70"/>
    </row>
    <row r="190" spans="1:6" s="50" customFormat="1" x14ac:dyDescent="0.3">
      <c r="A190" s="31"/>
      <c r="B190" s="69"/>
      <c r="C190" s="76"/>
      <c r="D190" s="197"/>
      <c r="E190" s="76"/>
      <c r="F190" s="70"/>
    </row>
    <row r="191" spans="1:6" s="50" customFormat="1" ht="27.6" x14ac:dyDescent="0.3">
      <c r="A191" s="31"/>
      <c r="B191" s="69" t="s">
        <v>156</v>
      </c>
      <c r="C191" s="76"/>
      <c r="D191" s="197"/>
      <c r="E191" s="76"/>
      <c r="F191" s="70"/>
    </row>
    <row r="192" spans="1:6" s="50" customFormat="1" x14ac:dyDescent="0.3">
      <c r="A192" s="31"/>
      <c r="B192" s="69"/>
      <c r="C192" s="76"/>
      <c r="D192" s="197"/>
      <c r="E192" s="76"/>
      <c r="F192" s="70"/>
    </row>
    <row r="193" spans="1:6" s="50" customFormat="1" x14ac:dyDescent="0.3">
      <c r="A193" s="31" t="s">
        <v>36</v>
      </c>
      <c r="B193" s="69" t="s">
        <v>157</v>
      </c>
      <c r="C193" s="76" t="s">
        <v>65</v>
      </c>
      <c r="D193" s="197">
        <v>186</v>
      </c>
      <c r="E193" s="76"/>
      <c r="F193" s="70">
        <f>D193*E193</f>
        <v>0</v>
      </c>
    </row>
    <row r="194" spans="1:6" s="50" customFormat="1" x14ac:dyDescent="0.3">
      <c r="A194" s="31"/>
      <c r="B194" s="69"/>
      <c r="C194" s="76"/>
      <c r="D194" s="197"/>
      <c r="E194" s="76"/>
      <c r="F194" s="70"/>
    </row>
    <row r="195" spans="1:6" s="50" customFormat="1" x14ac:dyDescent="0.3">
      <c r="A195" s="31" t="s">
        <v>39</v>
      </c>
      <c r="B195" s="69" t="s">
        <v>165</v>
      </c>
      <c r="C195" s="76" t="s">
        <v>52</v>
      </c>
      <c r="D195" s="197">
        <v>40</v>
      </c>
      <c r="E195" s="76"/>
      <c r="F195" s="70">
        <f>D195*E195</f>
        <v>0</v>
      </c>
    </row>
    <row r="196" spans="1:6" s="50" customFormat="1" x14ac:dyDescent="0.3">
      <c r="A196" s="31"/>
      <c r="B196" s="69"/>
      <c r="C196" s="76"/>
      <c r="D196" s="197"/>
      <c r="E196" s="76"/>
      <c r="F196" s="70"/>
    </row>
    <row r="197" spans="1:6" s="50" customFormat="1" x14ac:dyDescent="0.3">
      <c r="A197" s="31"/>
      <c r="B197" s="89" t="s">
        <v>136</v>
      </c>
      <c r="C197" s="76"/>
      <c r="D197" s="197"/>
      <c r="E197" s="76"/>
      <c r="F197" s="70"/>
    </row>
    <row r="198" spans="1:6" s="50" customFormat="1" x14ac:dyDescent="0.3">
      <c r="A198" s="31"/>
      <c r="B198" s="69"/>
      <c r="C198" s="76"/>
      <c r="D198" s="197"/>
      <c r="E198" s="76"/>
      <c r="F198" s="70"/>
    </row>
    <row r="199" spans="1:6" s="50" customFormat="1" ht="41.4" x14ac:dyDescent="0.3">
      <c r="A199" s="31" t="s">
        <v>40</v>
      </c>
      <c r="B199" s="118" t="s">
        <v>158</v>
      </c>
      <c r="C199" s="76" t="s">
        <v>52</v>
      </c>
      <c r="D199" s="197">
        <v>305</v>
      </c>
      <c r="E199" s="76"/>
      <c r="F199" s="70">
        <f>D199*E199</f>
        <v>0</v>
      </c>
    </row>
    <row r="200" spans="1:6" s="50" customFormat="1" x14ac:dyDescent="0.3">
      <c r="A200" s="31"/>
      <c r="B200" s="69"/>
      <c r="C200" s="76"/>
      <c r="D200" s="197"/>
      <c r="E200" s="76"/>
      <c r="F200" s="70"/>
    </row>
    <row r="201" spans="1:6" s="50" customFormat="1" x14ac:dyDescent="0.3">
      <c r="A201" s="31"/>
      <c r="B201" s="88" t="s">
        <v>159</v>
      </c>
      <c r="C201" s="76"/>
      <c r="D201" s="197"/>
      <c r="E201" s="76"/>
      <c r="F201" s="70"/>
    </row>
    <row r="202" spans="1:6" s="50" customFormat="1" x14ac:dyDescent="0.3">
      <c r="A202" s="31"/>
      <c r="B202" s="69"/>
      <c r="C202" s="76"/>
      <c r="D202" s="197"/>
      <c r="E202" s="76"/>
      <c r="F202" s="70"/>
    </row>
    <row r="203" spans="1:6" s="50" customFormat="1" ht="55.2" x14ac:dyDescent="0.3">
      <c r="A203" s="31" t="s">
        <v>44</v>
      </c>
      <c r="B203" s="69" t="s">
        <v>160</v>
      </c>
      <c r="C203" s="76" t="s">
        <v>52</v>
      </c>
      <c r="D203" s="197">
        <v>44</v>
      </c>
      <c r="E203" s="76"/>
      <c r="F203" s="70">
        <f>D203*E203</f>
        <v>0</v>
      </c>
    </row>
    <row r="204" spans="1:6" x14ac:dyDescent="0.3">
      <c r="A204" s="31"/>
      <c r="B204" s="19"/>
      <c r="C204" s="75"/>
      <c r="D204" s="68"/>
      <c r="E204" s="75"/>
      <c r="F204" s="32"/>
    </row>
    <row r="205" spans="1:6" ht="27.6" x14ac:dyDescent="0.3">
      <c r="A205" s="36"/>
      <c r="B205" s="2" t="s">
        <v>161</v>
      </c>
      <c r="C205" s="77"/>
      <c r="D205" s="198"/>
      <c r="E205" s="242" t="s">
        <v>43</v>
      </c>
      <c r="F205" s="58">
        <f>SUM(F192:F203)</f>
        <v>0</v>
      </c>
    </row>
    <row r="206" spans="1:6" x14ac:dyDescent="0.3">
      <c r="A206" s="31"/>
      <c r="B206" s="19"/>
      <c r="C206" s="75"/>
      <c r="D206" s="68"/>
      <c r="E206" s="75"/>
      <c r="F206" s="32"/>
    </row>
    <row r="207" spans="1:6" x14ac:dyDescent="0.3">
      <c r="A207" s="71">
        <v>4</v>
      </c>
      <c r="B207" s="33" t="s">
        <v>166</v>
      </c>
      <c r="C207" s="75"/>
      <c r="D207" s="68"/>
      <c r="E207" s="75"/>
      <c r="F207" s="32"/>
    </row>
    <row r="208" spans="1:6" x14ac:dyDescent="0.3">
      <c r="A208" s="31"/>
      <c r="B208" s="19"/>
      <c r="C208" s="75"/>
      <c r="D208" s="68"/>
      <c r="E208" s="75"/>
      <c r="F208" s="32"/>
    </row>
    <row r="209" spans="1:6" ht="55.8" x14ac:dyDescent="0.3">
      <c r="A209" s="31"/>
      <c r="B209" s="35" t="s">
        <v>167</v>
      </c>
      <c r="C209" s="75"/>
      <c r="D209" s="68"/>
      <c r="E209" s="75"/>
      <c r="F209" s="32"/>
    </row>
    <row r="210" spans="1:6" x14ac:dyDescent="0.3">
      <c r="A210" s="31"/>
      <c r="B210" s="19"/>
      <c r="C210" s="75"/>
      <c r="D210" s="68"/>
      <c r="E210" s="75"/>
      <c r="F210" s="32"/>
    </row>
    <row r="211" spans="1:6" s="50" customFormat="1" x14ac:dyDescent="0.3">
      <c r="A211" s="31" t="s">
        <v>168</v>
      </c>
      <c r="B211" s="69" t="s">
        <v>176</v>
      </c>
      <c r="C211" s="76" t="s">
        <v>65</v>
      </c>
      <c r="D211" s="197">
        <v>168</v>
      </c>
      <c r="E211" s="76"/>
      <c r="F211" s="70">
        <f>E211*D211</f>
        <v>0</v>
      </c>
    </row>
    <row r="212" spans="1:6" x14ac:dyDescent="0.3">
      <c r="A212" s="31"/>
      <c r="B212" s="19"/>
      <c r="C212" s="75"/>
      <c r="D212" s="68"/>
      <c r="E212" s="75"/>
      <c r="F212" s="32"/>
    </row>
    <row r="213" spans="1:6" x14ac:dyDescent="0.3">
      <c r="A213" s="31" t="s">
        <v>39</v>
      </c>
      <c r="B213" s="19" t="s">
        <v>169</v>
      </c>
      <c r="C213" s="75" t="s">
        <v>52</v>
      </c>
      <c r="D213" s="68">
        <v>16</v>
      </c>
      <c r="E213" s="75"/>
      <c r="F213" s="70">
        <f>E213*D213</f>
        <v>0</v>
      </c>
    </row>
    <row r="214" spans="1:6" x14ac:dyDescent="0.3">
      <c r="A214" s="31"/>
      <c r="B214" s="19"/>
      <c r="C214" s="75"/>
      <c r="D214" s="68"/>
      <c r="E214" s="75"/>
      <c r="F214" s="32"/>
    </row>
    <row r="215" spans="1:6" x14ac:dyDescent="0.3">
      <c r="A215" s="31"/>
      <c r="B215" s="35" t="s">
        <v>170</v>
      </c>
      <c r="C215" s="75"/>
      <c r="D215" s="68"/>
      <c r="E215" s="75"/>
      <c r="F215" s="70"/>
    </row>
    <row r="216" spans="1:6" x14ac:dyDescent="0.3">
      <c r="A216" s="31"/>
      <c r="B216" s="34"/>
      <c r="C216" s="75"/>
      <c r="D216" s="68"/>
      <c r="E216" s="75"/>
      <c r="F216" s="32"/>
    </row>
    <row r="217" spans="1:6" s="50" customFormat="1" ht="27.6" x14ac:dyDescent="0.3">
      <c r="A217" s="31" t="s">
        <v>40</v>
      </c>
      <c r="B217" s="69" t="s">
        <v>171</v>
      </c>
      <c r="C217" s="76" t="s">
        <v>52</v>
      </c>
      <c r="D217" s="197">
        <v>12</v>
      </c>
      <c r="E217" s="76"/>
      <c r="F217" s="70">
        <f>E217*D217</f>
        <v>0</v>
      </c>
    </row>
    <row r="218" spans="1:6" x14ac:dyDescent="0.3">
      <c r="A218" s="31"/>
      <c r="B218" s="34"/>
      <c r="C218" s="75"/>
      <c r="D218" s="68"/>
      <c r="E218" s="75"/>
      <c r="F218" s="32"/>
    </row>
    <row r="219" spans="1:6" x14ac:dyDescent="0.3">
      <c r="A219" s="31"/>
      <c r="B219" s="35" t="s">
        <v>172</v>
      </c>
      <c r="C219" s="75"/>
      <c r="D219" s="68"/>
      <c r="E219" s="75"/>
      <c r="F219" s="32"/>
    </row>
    <row r="220" spans="1:6" x14ac:dyDescent="0.3">
      <c r="A220" s="31"/>
      <c r="B220" s="34"/>
      <c r="C220" s="75"/>
      <c r="D220" s="68"/>
      <c r="E220" s="75"/>
      <c r="F220" s="32"/>
    </row>
    <row r="221" spans="1:6" s="101" customFormat="1" ht="69" x14ac:dyDescent="0.3">
      <c r="A221" s="31" t="s">
        <v>44</v>
      </c>
      <c r="B221" s="69" t="s">
        <v>173</v>
      </c>
      <c r="C221" s="76" t="s">
        <v>65</v>
      </c>
      <c r="D221" s="197">
        <v>167</v>
      </c>
      <c r="E221" s="76"/>
      <c r="F221" s="70">
        <f>E221*D221</f>
        <v>0</v>
      </c>
    </row>
    <row r="222" spans="1:6" x14ac:dyDescent="0.3">
      <c r="A222" s="31"/>
      <c r="B222" s="19"/>
      <c r="C222" s="75"/>
      <c r="D222" s="68"/>
      <c r="E222" s="75"/>
      <c r="F222" s="32"/>
    </row>
    <row r="223" spans="1:6" s="50" customFormat="1" ht="27.6" x14ac:dyDescent="0.3">
      <c r="A223" s="36"/>
      <c r="B223" s="2" t="s">
        <v>174</v>
      </c>
      <c r="C223" s="77"/>
      <c r="D223" s="198"/>
      <c r="E223" s="242" t="s">
        <v>43</v>
      </c>
      <c r="F223" s="58">
        <f>SUM(F211:F222)</f>
        <v>0</v>
      </c>
    </row>
    <row r="224" spans="1:6" x14ac:dyDescent="0.3">
      <c r="A224" s="39"/>
      <c r="B224" s="40"/>
      <c r="C224" s="41"/>
      <c r="D224" s="42"/>
      <c r="E224" s="248"/>
      <c r="F224" s="43"/>
    </row>
    <row r="225" spans="1:6" x14ac:dyDescent="0.3">
      <c r="A225" s="71">
        <v>5</v>
      </c>
      <c r="B225" s="33" t="s">
        <v>177</v>
      </c>
      <c r="C225" s="75"/>
      <c r="D225" s="68"/>
      <c r="E225" s="75"/>
      <c r="F225" s="32"/>
    </row>
    <row r="226" spans="1:6" x14ac:dyDescent="0.3">
      <c r="A226" s="31"/>
      <c r="B226" s="19"/>
      <c r="C226" s="75"/>
      <c r="D226" s="68"/>
      <c r="E226" s="75"/>
      <c r="F226" s="32"/>
    </row>
    <row r="227" spans="1:6" ht="69.599999999999994" x14ac:dyDescent="0.3">
      <c r="A227" s="31"/>
      <c r="B227" s="34" t="s">
        <v>193</v>
      </c>
      <c r="C227" s="75"/>
      <c r="D227" s="68"/>
      <c r="E227" s="75"/>
      <c r="F227" s="32"/>
    </row>
    <row r="228" spans="1:6" x14ac:dyDescent="0.3">
      <c r="A228" s="31"/>
      <c r="B228" s="57"/>
      <c r="C228" s="75"/>
      <c r="D228" s="68"/>
      <c r="E228" s="75"/>
      <c r="F228" s="32"/>
    </row>
    <row r="229" spans="1:6" x14ac:dyDescent="0.3">
      <c r="A229" s="31" t="s">
        <v>36</v>
      </c>
      <c r="B229" s="19" t="s">
        <v>178</v>
      </c>
      <c r="C229" s="75" t="s">
        <v>142</v>
      </c>
      <c r="D229" s="68">
        <v>912</v>
      </c>
      <c r="E229" s="75"/>
      <c r="F229" s="32">
        <f>E229*D229</f>
        <v>0</v>
      </c>
    </row>
    <row r="230" spans="1:6" x14ac:dyDescent="0.3">
      <c r="A230" s="31"/>
      <c r="B230" s="19"/>
      <c r="C230" s="75"/>
      <c r="D230" s="68"/>
      <c r="E230" s="75"/>
      <c r="F230" s="32"/>
    </row>
    <row r="231" spans="1:6" x14ac:dyDescent="0.3">
      <c r="A231" s="31" t="s">
        <v>39</v>
      </c>
      <c r="B231" s="19" t="s">
        <v>187</v>
      </c>
      <c r="C231" s="75" t="s">
        <v>142</v>
      </c>
      <c r="D231" s="68">
        <v>2553</v>
      </c>
      <c r="E231" s="75"/>
      <c r="F231" s="32">
        <f>E231*D231</f>
        <v>0</v>
      </c>
    </row>
    <row r="232" spans="1:6" x14ac:dyDescent="0.3">
      <c r="A232" s="31"/>
      <c r="B232" s="19"/>
      <c r="C232" s="75"/>
      <c r="D232" s="68"/>
      <c r="E232" s="75"/>
      <c r="F232" s="32"/>
    </row>
    <row r="233" spans="1:6" x14ac:dyDescent="0.3">
      <c r="A233" s="31" t="s">
        <v>40</v>
      </c>
      <c r="B233" s="19" t="s">
        <v>188</v>
      </c>
      <c r="C233" s="75" t="s">
        <v>142</v>
      </c>
      <c r="D233" s="68">
        <v>211</v>
      </c>
      <c r="E233" s="75"/>
      <c r="F233" s="32">
        <f>E233*D233</f>
        <v>0</v>
      </c>
    </row>
    <row r="234" spans="1:6" x14ac:dyDescent="0.3">
      <c r="A234" s="31"/>
      <c r="B234" s="19"/>
      <c r="C234" s="75"/>
      <c r="D234" s="68"/>
      <c r="E234" s="75"/>
      <c r="F234" s="32"/>
    </row>
    <row r="235" spans="1:6" s="50" customFormat="1" ht="27.6" x14ac:dyDescent="0.3">
      <c r="A235" s="31" t="s">
        <v>44</v>
      </c>
      <c r="B235" s="69" t="s">
        <v>179</v>
      </c>
      <c r="C235" s="76" t="s">
        <v>142</v>
      </c>
      <c r="D235" s="197">
        <v>875</v>
      </c>
      <c r="E235" s="76"/>
      <c r="F235" s="70">
        <f>E235*D235</f>
        <v>0</v>
      </c>
    </row>
    <row r="236" spans="1:6" s="50" customFormat="1" x14ac:dyDescent="0.3">
      <c r="A236" s="31"/>
      <c r="B236" s="69"/>
      <c r="C236" s="76"/>
      <c r="D236" s="197"/>
      <c r="E236" s="76"/>
      <c r="F236" s="70"/>
    </row>
    <row r="237" spans="1:6" s="50" customFormat="1" ht="27.6" x14ac:dyDescent="0.3">
      <c r="A237" s="31" t="s">
        <v>46</v>
      </c>
      <c r="B237" s="69" t="s">
        <v>189</v>
      </c>
      <c r="C237" s="76" t="s">
        <v>142</v>
      </c>
      <c r="D237" s="197">
        <v>1574</v>
      </c>
      <c r="E237" s="76"/>
      <c r="F237" s="70">
        <f>D237*E237</f>
        <v>0</v>
      </c>
    </row>
    <row r="238" spans="1:6" x14ac:dyDescent="0.3">
      <c r="A238" s="31"/>
      <c r="B238" s="19"/>
      <c r="C238" s="75"/>
      <c r="D238" s="68"/>
      <c r="E238" s="75"/>
      <c r="F238" s="32"/>
    </row>
    <row r="239" spans="1:6" x14ac:dyDescent="0.3">
      <c r="A239" s="31" t="s">
        <v>48</v>
      </c>
      <c r="B239" s="19" t="s">
        <v>181</v>
      </c>
      <c r="C239" s="75" t="s">
        <v>142</v>
      </c>
      <c r="D239" s="68">
        <v>167</v>
      </c>
      <c r="E239" s="76"/>
      <c r="F239" s="32">
        <f>E239*D239</f>
        <v>0</v>
      </c>
    </row>
    <row r="240" spans="1:6" x14ac:dyDescent="0.3">
      <c r="A240" s="31"/>
      <c r="B240" s="19"/>
      <c r="C240" s="75"/>
      <c r="D240" s="68"/>
      <c r="E240" s="75"/>
      <c r="F240" s="32"/>
    </row>
    <row r="241" spans="1:6" x14ac:dyDescent="0.3">
      <c r="A241" s="31" t="s">
        <v>50</v>
      </c>
      <c r="B241" s="19" t="s">
        <v>190</v>
      </c>
      <c r="C241" s="75" t="s">
        <v>142</v>
      </c>
      <c r="D241" s="68">
        <v>89</v>
      </c>
      <c r="E241" s="76"/>
      <c r="F241" s="32">
        <f>E241*D241</f>
        <v>0</v>
      </c>
    </row>
    <row r="242" spans="1:6" x14ac:dyDescent="0.3">
      <c r="A242" s="31"/>
      <c r="B242" s="19"/>
      <c r="C242" s="75"/>
      <c r="D242" s="68"/>
      <c r="E242" s="75"/>
      <c r="F242" s="32"/>
    </row>
    <row r="243" spans="1:6" x14ac:dyDescent="0.3">
      <c r="A243" s="31" t="s">
        <v>51</v>
      </c>
      <c r="B243" s="19" t="s">
        <v>180</v>
      </c>
      <c r="C243" s="75" t="s">
        <v>142</v>
      </c>
      <c r="D243" s="68">
        <v>72</v>
      </c>
      <c r="E243" s="76"/>
      <c r="F243" s="32">
        <f>E243*D243</f>
        <v>0</v>
      </c>
    </row>
    <row r="244" spans="1:6" x14ac:dyDescent="0.3">
      <c r="A244" s="31"/>
      <c r="B244" s="19"/>
      <c r="C244" s="75"/>
      <c r="D244" s="68"/>
      <c r="E244" s="75"/>
      <c r="F244" s="32"/>
    </row>
    <row r="245" spans="1:6" x14ac:dyDescent="0.3">
      <c r="A245" s="31" t="s">
        <v>55</v>
      </c>
      <c r="B245" s="44" t="s">
        <v>182</v>
      </c>
      <c r="C245" s="75" t="s">
        <v>61</v>
      </c>
      <c r="D245" s="68">
        <v>132</v>
      </c>
      <c r="E245" s="75"/>
      <c r="F245" s="32">
        <f>E245*D245</f>
        <v>0</v>
      </c>
    </row>
    <row r="246" spans="1:6" x14ac:dyDescent="0.3">
      <c r="A246" s="31"/>
      <c r="B246" s="44"/>
      <c r="C246" s="80"/>
      <c r="D246" s="68"/>
      <c r="E246" s="75"/>
      <c r="F246" s="32"/>
    </row>
    <row r="247" spans="1:6" x14ac:dyDescent="0.3">
      <c r="A247" s="31" t="s">
        <v>70</v>
      </c>
      <c r="B247" s="44" t="s">
        <v>183</v>
      </c>
      <c r="C247" s="80" t="s">
        <v>61</v>
      </c>
      <c r="D247" s="68">
        <v>88</v>
      </c>
      <c r="E247" s="75"/>
      <c r="F247" s="32">
        <f>E247*D247</f>
        <v>0</v>
      </c>
    </row>
    <row r="248" spans="1:6" x14ac:dyDescent="0.3">
      <c r="A248" s="31"/>
      <c r="B248" s="44"/>
      <c r="C248" s="80"/>
      <c r="D248" s="68"/>
      <c r="E248" s="75"/>
      <c r="F248" s="32"/>
    </row>
    <row r="249" spans="1:6" x14ac:dyDescent="0.3">
      <c r="A249" s="31"/>
      <c r="B249" s="89" t="s">
        <v>129</v>
      </c>
      <c r="C249" s="80"/>
      <c r="D249" s="68"/>
      <c r="E249" s="75"/>
      <c r="F249" s="32"/>
    </row>
    <row r="250" spans="1:6" x14ac:dyDescent="0.3">
      <c r="A250" s="31"/>
      <c r="B250" s="69"/>
      <c r="C250" s="80"/>
      <c r="D250" s="68"/>
      <c r="E250" s="75"/>
      <c r="F250" s="32"/>
    </row>
    <row r="251" spans="1:6" s="50" customFormat="1" ht="41.4" x14ac:dyDescent="0.3">
      <c r="A251" s="31" t="s">
        <v>60</v>
      </c>
      <c r="B251" s="69" t="s">
        <v>131</v>
      </c>
      <c r="C251" s="104" t="s">
        <v>61</v>
      </c>
      <c r="D251" s="197">
        <v>24</v>
      </c>
      <c r="E251" s="76"/>
      <c r="F251" s="70">
        <f>E251*D251</f>
        <v>0</v>
      </c>
    </row>
    <row r="252" spans="1:6" x14ac:dyDescent="0.3">
      <c r="A252" s="31"/>
      <c r="B252" s="44"/>
      <c r="C252" s="80"/>
      <c r="D252" s="68"/>
      <c r="E252" s="75"/>
      <c r="F252" s="32"/>
    </row>
    <row r="253" spans="1:6" x14ac:dyDescent="0.3">
      <c r="A253" s="31"/>
      <c r="B253" s="103" t="s">
        <v>184</v>
      </c>
      <c r="C253" s="80"/>
      <c r="D253" s="68"/>
      <c r="E253" s="75"/>
      <c r="F253" s="32"/>
    </row>
    <row r="254" spans="1:6" x14ac:dyDescent="0.3">
      <c r="A254" s="31"/>
      <c r="B254" s="44"/>
      <c r="C254" s="80"/>
      <c r="D254" s="68"/>
      <c r="E254" s="75"/>
      <c r="F254" s="32"/>
    </row>
    <row r="255" spans="1:6" ht="55.8" x14ac:dyDescent="0.3">
      <c r="A255" s="31"/>
      <c r="B255" s="46" t="s">
        <v>185</v>
      </c>
      <c r="C255" s="80"/>
      <c r="D255" s="68"/>
      <c r="E255" s="75"/>
      <c r="F255" s="32"/>
    </row>
    <row r="256" spans="1:6" x14ac:dyDescent="0.3">
      <c r="A256" s="31"/>
      <c r="B256" s="44"/>
      <c r="C256" s="80"/>
      <c r="D256" s="68"/>
      <c r="E256" s="75"/>
      <c r="F256" s="32"/>
    </row>
    <row r="257" spans="1:6" x14ac:dyDescent="0.3">
      <c r="A257" s="31" t="s">
        <v>90</v>
      </c>
      <c r="B257" s="44" t="s">
        <v>186</v>
      </c>
      <c r="C257" s="80" t="s">
        <v>142</v>
      </c>
      <c r="D257" s="68">
        <v>6453</v>
      </c>
      <c r="E257" s="75"/>
      <c r="F257" s="32">
        <f>E257*D257</f>
        <v>0</v>
      </c>
    </row>
    <row r="258" spans="1:6" x14ac:dyDescent="0.3">
      <c r="A258" s="31"/>
      <c r="B258" s="19"/>
      <c r="C258" s="75"/>
      <c r="D258" s="68"/>
      <c r="E258" s="75"/>
      <c r="F258" s="32"/>
    </row>
    <row r="259" spans="1:6" x14ac:dyDescent="0.3">
      <c r="A259" s="36"/>
      <c r="B259" s="37" t="s">
        <v>191</v>
      </c>
      <c r="C259" s="81"/>
      <c r="D259" s="199"/>
      <c r="E259" s="85" t="s">
        <v>43</v>
      </c>
      <c r="F259" s="38">
        <f>SUM(F225:F258)</f>
        <v>0</v>
      </c>
    </row>
    <row r="260" spans="1:6" x14ac:dyDescent="0.3">
      <c r="A260" s="39"/>
      <c r="B260" s="40"/>
      <c r="C260" s="41"/>
      <c r="D260" s="42"/>
      <c r="E260" s="248"/>
      <c r="F260" s="43"/>
    </row>
    <row r="261" spans="1:6" x14ac:dyDescent="0.3">
      <c r="A261" s="71">
        <v>6</v>
      </c>
      <c r="B261" s="33" t="s">
        <v>192</v>
      </c>
      <c r="C261" s="75"/>
      <c r="D261" s="68"/>
      <c r="E261" s="75"/>
      <c r="F261" s="32"/>
    </row>
    <row r="262" spans="1:6" x14ac:dyDescent="0.3">
      <c r="A262" s="31"/>
      <c r="B262" s="19"/>
      <c r="C262" s="75"/>
      <c r="D262" s="68"/>
      <c r="E262" s="75"/>
      <c r="F262" s="32"/>
    </row>
    <row r="263" spans="1:6" x14ac:dyDescent="0.3">
      <c r="A263" s="31"/>
      <c r="B263" s="34" t="s">
        <v>195</v>
      </c>
      <c r="C263" s="75"/>
      <c r="D263" s="68"/>
      <c r="E263" s="75"/>
      <c r="F263" s="32"/>
    </row>
    <row r="264" spans="1:6" x14ac:dyDescent="0.3">
      <c r="A264" s="31"/>
      <c r="B264" s="57"/>
      <c r="C264" s="75"/>
      <c r="D264" s="68"/>
      <c r="E264" s="75"/>
      <c r="F264" s="32"/>
    </row>
    <row r="265" spans="1:6" ht="42" x14ac:dyDescent="0.3">
      <c r="A265" s="31"/>
      <c r="B265" s="35" t="s">
        <v>194</v>
      </c>
      <c r="C265" s="75"/>
      <c r="D265" s="68"/>
      <c r="E265" s="75"/>
      <c r="F265" s="32"/>
    </row>
    <row r="266" spans="1:6" x14ac:dyDescent="0.3">
      <c r="A266" s="31"/>
      <c r="B266" s="19"/>
      <c r="C266" s="75"/>
      <c r="D266" s="68"/>
      <c r="E266" s="75"/>
      <c r="F266" s="32"/>
    </row>
    <row r="267" spans="1:6" s="50" customFormat="1" ht="69" x14ac:dyDescent="0.3">
      <c r="A267" s="31" t="s">
        <v>36</v>
      </c>
      <c r="B267" s="69" t="s">
        <v>202</v>
      </c>
      <c r="C267" s="76" t="s">
        <v>61</v>
      </c>
      <c r="D267" s="197">
        <v>2</v>
      </c>
      <c r="E267" s="76"/>
      <c r="F267" s="70">
        <f>E267*D267</f>
        <v>0</v>
      </c>
    </row>
    <row r="268" spans="1:6" x14ac:dyDescent="0.3">
      <c r="A268" s="31"/>
      <c r="B268" s="19"/>
      <c r="C268" s="75"/>
      <c r="D268" s="68"/>
      <c r="E268" s="75"/>
      <c r="F268" s="32"/>
    </row>
    <row r="269" spans="1:6" x14ac:dyDescent="0.3">
      <c r="A269" s="31"/>
      <c r="B269" s="34" t="s">
        <v>196</v>
      </c>
      <c r="C269" s="75"/>
      <c r="D269" s="68"/>
      <c r="E269" s="75"/>
      <c r="F269" s="32"/>
    </row>
    <row r="270" spans="1:6" x14ac:dyDescent="0.3">
      <c r="A270" s="31"/>
      <c r="B270" s="19"/>
      <c r="C270" s="75"/>
      <c r="D270" s="68"/>
      <c r="E270" s="75"/>
      <c r="F270" s="32"/>
    </row>
    <row r="271" spans="1:6" ht="41.4" x14ac:dyDescent="0.3">
      <c r="A271" s="31" t="s">
        <v>39</v>
      </c>
      <c r="B271" s="69" t="s">
        <v>203</v>
      </c>
      <c r="C271" s="76" t="s">
        <v>61</v>
      </c>
      <c r="D271" s="197">
        <v>8</v>
      </c>
      <c r="E271" s="76"/>
      <c r="F271" s="70">
        <f>D271*E271</f>
        <v>0</v>
      </c>
    </row>
    <row r="272" spans="1:6" x14ac:dyDescent="0.3">
      <c r="A272" s="31"/>
      <c r="B272" s="19"/>
      <c r="C272" s="75"/>
      <c r="D272" s="68"/>
      <c r="E272" s="75"/>
      <c r="F272" s="32"/>
    </row>
    <row r="273" spans="1:6" x14ac:dyDescent="0.3">
      <c r="A273" s="31"/>
      <c r="B273" s="103" t="s">
        <v>197</v>
      </c>
      <c r="C273" s="75"/>
      <c r="D273" s="68"/>
      <c r="E273" s="75"/>
      <c r="F273" s="32"/>
    </row>
    <row r="274" spans="1:6" x14ac:dyDescent="0.3">
      <c r="A274" s="31"/>
      <c r="B274" s="19"/>
      <c r="C274" s="75"/>
      <c r="D274" s="68"/>
      <c r="E274" s="75"/>
      <c r="F274" s="32"/>
    </row>
    <row r="275" spans="1:6" ht="42" x14ac:dyDescent="0.3">
      <c r="A275" s="31"/>
      <c r="B275" s="35" t="s">
        <v>198</v>
      </c>
      <c r="C275" s="75"/>
      <c r="D275" s="68"/>
      <c r="E275" s="75"/>
      <c r="F275" s="32">
        <f>E275*D275</f>
        <v>0</v>
      </c>
    </row>
    <row r="276" spans="1:6" x14ac:dyDescent="0.3">
      <c r="A276" s="31"/>
      <c r="B276" s="19"/>
      <c r="C276" s="75"/>
      <c r="D276" s="68"/>
      <c r="E276" s="75"/>
      <c r="F276" s="32"/>
    </row>
    <row r="277" spans="1:6" s="50" customFormat="1" ht="27.6" x14ac:dyDescent="0.3">
      <c r="A277" s="31" t="s">
        <v>40</v>
      </c>
      <c r="B277" s="194" t="s">
        <v>205</v>
      </c>
      <c r="C277" s="104" t="s">
        <v>52</v>
      </c>
      <c r="D277" s="197">
        <v>16</v>
      </c>
      <c r="E277" s="76"/>
      <c r="F277" s="70">
        <f>D277*E277</f>
        <v>0</v>
      </c>
    </row>
    <row r="278" spans="1:6" s="50" customFormat="1" x14ac:dyDescent="0.3">
      <c r="A278" s="31"/>
      <c r="B278" s="69"/>
      <c r="C278" s="76"/>
      <c r="D278" s="76"/>
      <c r="E278" s="76"/>
      <c r="F278" s="70"/>
    </row>
    <row r="279" spans="1:6" s="50" customFormat="1" x14ac:dyDescent="0.3">
      <c r="A279" s="31" t="s">
        <v>44</v>
      </c>
      <c r="B279" s="69" t="s">
        <v>204</v>
      </c>
      <c r="C279" s="76" t="s">
        <v>52</v>
      </c>
      <c r="D279" s="76">
        <v>6</v>
      </c>
      <c r="E279" s="76"/>
      <c r="F279" s="70">
        <f>D279*E279</f>
        <v>0</v>
      </c>
    </row>
    <row r="280" spans="1:6" s="50" customFormat="1" x14ac:dyDescent="0.3">
      <c r="A280" s="31"/>
      <c r="B280" s="69"/>
      <c r="C280" s="76"/>
      <c r="D280" s="76"/>
      <c r="E280" s="76"/>
      <c r="F280" s="70"/>
    </row>
    <row r="281" spans="1:6" s="50" customFormat="1" ht="27.6" x14ac:dyDescent="0.3">
      <c r="A281" s="31" t="s">
        <v>46</v>
      </c>
      <c r="B281" s="69" t="s">
        <v>206</v>
      </c>
      <c r="C281" s="76" t="s">
        <v>52</v>
      </c>
      <c r="D281" s="76">
        <v>15</v>
      </c>
      <c r="E281" s="76"/>
      <c r="F281" s="70">
        <f>D281*E281</f>
        <v>0</v>
      </c>
    </row>
    <row r="282" spans="1:6" x14ac:dyDescent="0.3">
      <c r="A282" s="31"/>
      <c r="B282" s="19"/>
      <c r="C282" s="75"/>
      <c r="D282" s="75"/>
      <c r="E282" s="75"/>
      <c r="F282" s="32"/>
    </row>
    <row r="283" spans="1:6" x14ac:dyDescent="0.3">
      <c r="A283" s="31" t="s">
        <v>48</v>
      </c>
      <c r="B283" s="19" t="s">
        <v>204</v>
      </c>
      <c r="C283" s="75" t="s">
        <v>52</v>
      </c>
      <c r="D283" s="75">
        <v>5</v>
      </c>
      <c r="E283" s="75"/>
      <c r="F283" s="70">
        <f>D283*E283</f>
        <v>0</v>
      </c>
    </row>
    <row r="284" spans="1:6" x14ac:dyDescent="0.3">
      <c r="A284" s="31"/>
      <c r="B284" s="19"/>
      <c r="C284" s="75"/>
      <c r="D284" s="75"/>
      <c r="E284" s="75"/>
      <c r="F284" s="32"/>
    </row>
    <row r="285" spans="1:6" x14ac:dyDescent="0.3">
      <c r="A285" s="31" t="s">
        <v>50</v>
      </c>
      <c r="B285" s="19" t="s">
        <v>208</v>
      </c>
      <c r="C285" s="75" t="s">
        <v>61</v>
      </c>
      <c r="D285" s="75">
        <v>8</v>
      </c>
      <c r="E285" s="75"/>
      <c r="F285" s="70">
        <f>D285*E285</f>
        <v>0</v>
      </c>
    </row>
    <row r="286" spans="1:6" x14ac:dyDescent="0.3">
      <c r="A286" s="31"/>
      <c r="B286" s="19"/>
      <c r="C286" s="75"/>
      <c r="D286" s="75"/>
      <c r="E286" s="75"/>
      <c r="F286" s="32"/>
    </row>
    <row r="287" spans="1:6" x14ac:dyDescent="0.3">
      <c r="A287" s="31" t="s">
        <v>51</v>
      </c>
      <c r="B287" s="19" t="s">
        <v>207</v>
      </c>
      <c r="C287" s="75" t="s">
        <v>61</v>
      </c>
      <c r="D287" s="75">
        <v>4</v>
      </c>
      <c r="E287" s="75"/>
      <c r="F287" s="70">
        <f>D287*E287</f>
        <v>0</v>
      </c>
    </row>
    <row r="288" spans="1:6" x14ac:dyDescent="0.3">
      <c r="A288" s="31"/>
      <c r="B288" s="19"/>
      <c r="C288" s="75"/>
      <c r="D288" s="75"/>
      <c r="E288" s="75"/>
      <c r="F288" s="32"/>
    </row>
    <row r="289" spans="1:6" s="50" customFormat="1" ht="27.6" x14ac:dyDescent="0.3">
      <c r="A289" s="31" t="s">
        <v>55</v>
      </c>
      <c r="B289" s="69" t="s">
        <v>211</v>
      </c>
      <c r="C289" s="76" t="s">
        <v>52</v>
      </c>
      <c r="D289" s="76">
        <v>12</v>
      </c>
      <c r="E289" s="76"/>
      <c r="F289" s="70">
        <f>D289*E289</f>
        <v>0</v>
      </c>
    </row>
    <row r="290" spans="1:6" s="50" customFormat="1" x14ac:dyDescent="0.3">
      <c r="A290" s="31"/>
      <c r="B290" s="69"/>
      <c r="C290" s="76"/>
      <c r="D290" s="76"/>
      <c r="E290" s="76"/>
      <c r="F290" s="70"/>
    </row>
    <row r="291" spans="1:6" s="50" customFormat="1" x14ac:dyDescent="0.3">
      <c r="A291" s="31" t="s">
        <v>70</v>
      </c>
      <c r="B291" s="69" t="s">
        <v>209</v>
      </c>
      <c r="C291" s="76" t="s">
        <v>52</v>
      </c>
      <c r="D291" s="76">
        <v>19</v>
      </c>
      <c r="E291" s="76"/>
      <c r="F291" s="70">
        <f>D291*E291</f>
        <v>0</v>
      </c>
    </row>
    <row r="292" spans="1:6" s="50" customFormat="1" x14ac:dyDescent="0.3">
      <c r="A292" s="31"/>
      <c r="B292" s="69"/>
      <c r="C292" s="76"/>
      <c r="D292" s="76"/>
      <c r="E292" s="76"/>
      <c r="F292" s="70"/>
    </row>
    <row r="293" spans="1:6" s="50" customFormat="1" ht="27.6" x14ac:dyDescent="0.3">
      <c r="A293" s="31" t="s">
        <v>60</v>
      </c>
      <c r="B293" s="69" t="s">
        <v>210</v>
      </c>
      <c r="C293" s="76" t="s">
        <v>52</v>
      </c>
      <c r="D293" s="76">
        <v>48</v>
      </c>
      <c r="E293" s="76"/>
      <c r="F293" s="70">
        <f>D293*E293</f>
        <v>0</v>
      </c>
    </row>
    <row r="294" spans="1:6" x14ac:dyDescent="0.3">
      <c r="A294" s="31"/>
      <c r="B294" s="19"/>
      <c r="C294" s="75"/>
      <c r="D294" s="75"/>
      <c r="E294" s="75"/>
      <c r="F294" s="32"/>
    </row>
    <row r="295" spans="1:6" s="50" customFormat="1" ht="41.4" x14ac:dyDescent="0.3">
      <c r="A295" s="31" t="s">
        <v>90</v>
      </c>
      <c r="B295" s="69" t="s">
        <v>199</v>
      </c>
      <c r="C295" s="76" t="s">
        <v>61</v>
      </c>
      <c r="D295" s="76">
        <v>16</v>
      </c>
      <c r="E295" s="76"/>
      <c r="F295" s="70">
        <f>D295*E295</f>
        <v>0</v>
      </c>
    </row>
    <row r="296" spans="1:6" x14ac:dyDescent="0.3">
      <c r="A296" s="31"/>
      <c r="B296" s="19"/>
      <c r="C296" s="75"/>
      <c r="D296" s="75"/>
      <c r="E296" s="75"/>
      <c r="F296" s="32"/>
    </row>
    <row r="297" spans="1:6" x14ac:dyDescent="0.3">
      <c r="A297" s="31" t="s">
        <v>93</v>
      </c>
      <c r="B297" s="19" t="s">
        <v>200</v>
      </c>
      <c r="C297" s="75" t="s">
        <v>61</v>
      </c>
      <c r="D297" s="75">
        <v>32</v>
      </c>
      <c r="E297" s="75"/>
      <c r="F297" s="70">
        <f>D297*E297</f>
        <v>0</v>
      </c>
    </row>
    <row r="298" spans="1:6" x14ac:dyDescent="0.3">
      <c r="A298" s="31"/>
      <c r="B298" s="19"/>
      <c r="C298" s="75"/>
      <c r="D298" s="75"/>
      <c r="E298" s="75"/>
      <c r="F298" s="32"/>
    </row>
    <row r="299" spans="1:6" x14ac:dyDescent="0.3">
      <c r="A299" s="31"/>
      <c r="B299" s="34" t="s">
        <v>212</v>
      </c>
      <c r="C299" s="75"/>
      <c r="D299" s="75"/>
      <c r="E299" s="75"/>
      <c r="F299" s="32"/>
    </row>
    <row r="300" spans="1:6" x14ac:dyDescent="0.3">
      <c r="A300" s="31"/>
      <c r="B300" s="19"/>
      <c r="C300" s="75"/>
      <c r="D300" s="75"/>
      <c r="E300" s="75"/>
      <c r="F300" s="32"/>
    </row>
    <row r="301" spans="1:6" s="50" customFormat="1" ht="27.6" x14ac:dyDescent="0.3">
      <c r="A301" s="31" t="s">
        <v>95</v>
      </c>
      <c r="B301" s="69" t="s">
        <v>213</v>
      </c>
      <c r="C301" s="76" t="s">
        <v>65</v>
      </c>
      <c r="D301" s="76">
        <v>12</v>
      </c>
      <c r="E301" s="76"/>
      <c r="F301" s="70">
        <f>D301*E301</f>
        <v>0</v>
      </c>
    </row>
    <row r="302" spans="1:6" s="50" customFormat="1" x14ac:dyDescent="0.3">
      <c r="A302" s="31"/>
      <c r="B302" s="69"/>
      <c r="C302" s="76"/>
      <c r="D302" s="76"/>
      <c r="E302" s="76"/>
      <c r="F302" s="70"/>
    </row>
    <row r="303" spans="1:6" s="50" customFormat="1" x14ac:dyDescent="0.3">
      <c r="A303" s="31" t="s">
        <v>96</v>
      </c>
      <c r="B303" s="69" t="s">
        <v>214</v>
      </c>
      <c r="C303" s="76" t="s">
        <v>65</v>
      </c>
      <c r="D303" s="76">
        <v>8</v>
      </c>
      <c r="E303" s="76"/>
      <c r="F303" s="70">
        <f>D303*E303</f>
        <v>0</v>
      </c>
    </row>
    <row r="304" spans="1:6" s="50" customFormat="1" x14ac:dyDescent="0.3">
      <c r="A304" s="31"/>
      <c r="B304" s="69"/>
      <c r="C304" s="76"/>
      <c r="D304" s="76"/>
      <c r="E304" s="76"/>
      <c r="F304" s="70"/>
    </row>
    <row r="305" spans="1:6" s="50" customFormat="1" x14ac:dyDescent="0.3">
      <c r="A305" s="31"/>
      <c r="B305" s="195" t="s">
        <v>184</v>
      </c>
      <c r="C305" s="76"/>
      <c r="D305" s="76"/>
      <c r="E305" s="76"/>
      <c r="F305" s="70"/>
    </row>
    <row r="306" spans="1:6" s="50" customFormat="1" x14ac:dyDescent="0.3">
      <c r="A306" s="31"/>
      <c r="B306" s="194"/>
      <c r="C306" s="76"/>
      <c r="D306" s="76"/>
      <c r="E306" s="76"/>
      <c r="F306" s="70"/>
    </row>
    <row r="307" spans="1:6" s="50" customFormat="1" ht="55.2" x14ac:dyDescent="0.3">
      <c r="A307" s="31"/>
      <c r="B307" s="196" t="s">
        <v>185</v>
      </c>
      <c r="C307" s="76"/>
      <c r="D307" s="76"/>
      <c r="E307" s="76"/>
      <c r="F307" s="70"/>
    </row>
    <row r="308" spans="1:6" s="50" customFormat="1" x14ac:dyDescent="0.3">
      <c r="A308" s="31"/>
      <c r="B308" s="69"/>
      <c r="C308" s="76"/>
      <c r="D308" s="76"/>
      <c r="E308" s="76"/>
      <c r="F308" s="70"/>
    </row>
    <row r="309" spans="1:6" s="50" customFormat="1" x14ac:dyDescent="0.3">
      <c r="A309" s="31" t="s">
        <v>100</v>
      </c>
      <c r="B309" s="69" t="s">
        <v>215</v>
      </c>
      <c r="C309" s="76" t="s">
        <v>52</v>
      </c>
      <c r="D309" s="76">
        <v>121</v>
      </c>
      <c r="E309" s="76"/>
      <c r="F309" s="70">
        <f>D309*E309</f>
        <v>0</v>
      </c>
    </row>
    <row r="310" spans="1:6" x14ac:dyDescent="0.3">
      <c r="A310" s="105"/>
      <c r="B310" s="106"/>
      <c r="C310" s="107"/>
      <c r="D310" s="107"/>
      <c r="E310" s="107"/>
      <c r="F310" s="108"/>
    </row>
    <row r="311" spans="1:6" x14ac:dyDescent="0.3">
      <c r="A311" s="36"/>
      <c r="B311" s="37" t="s">
        <v>216</v>
      </c>
      <c r="C311" s="81"/>
      <c r="D311" s="199"/>
      <c r="E311" s="85" t="s">
        <v>43</v>
      </c>
      <c r="F311" s="38">
        <f>SUM(F267:F310)</f>
        <v>0</v>
      </c>
    </row>
    <row r="312" spans="1:6" x14ac:dyDescent="0.3">
      <c r="A312" s="109"/>
      <c r="B312" s="110"/>
      <c r="C312" s="111"/>
      <c r="D312" s="112"/>
      <c r="E312" s="111"/>
      <c r="F312" s="113"/>
    </row>
    <row r="313" spans="1:6" x14ac:dyDescent="0.3">
      <c r="A313" s="71">
        <v>7</v>
      </c>
      <c r="B313" s="33" t="s">
        <v>217</v>
      </c>
      <c r="C313" s="75"/>
      <c r="D313" s="75"/>
      <c r="E313" s="75"/>
      <c r="F313" s="84"/>
    </row>
    <row r="314" spans="1:6" x14ac:dyDescent="0.3">
      <c r="A314" s="31"/>
      <c r="B314" s="19"/>
      <c r="C314" s="75"/>
      <c r="D314" s="75"/>
      <c r="E314" s="75"/>
      <c r="F314" s="84"/>
    </row>
    <row r="315" spans="1:6" x14ac:dyDescent="0.3">
      <c r="A315" s="31"/>
      <c r="B315" s="34" t="s">
        <v>247</v>
      </c>
      <c r="C315" s="75"/>
      <c r="D315" s="75"/>
      <c r="E315" s="75"/>
      <c r="F315" s="84"/>
    </row>
    <row r="316" spans="1:6" x14ac:dyDescent="0.3">
      <c r="A316" s="31"/>
      <c r="B316" s="19"/>
      <c r="C316" s="75"/>
      <c r="D316" s="75"/>
      <c r="E316" s="75"/>
      <c r="F316" s="84"/>
    </row>
    <row r="317" spans="1:6" ht="28.2" x14ac:dyDescent="0.3">
      <c r="A317" s="31"/>
      <c r="B317" s="35" t="s">
        <v>220</v>
      </c>
      <c r="C317" s="75"/>
      <c r="D317" s="75"/>
      <c r="E317" s="75"/>
      <c r="F317" s="84"/>
    </row>
    <row r="318" spans="1:6" x14ac:dyDescent="0.3">
      <c r="A318" s="31"/>
      <c r="B318" s="19"/>
      <c r="C318" s="75"/>
      <c r="D318" s="75"/>
      <c r="E318" s="75"/>
      <c r="F318" s="84"/>
    </row>
    <row r="319" spans="1:6" ht="28.2" x14ac:dyDescent="0.3">
      <c r="A319" s="31" t="s">
        <v>36</v>
      </c>
      <c r="B319" s="19" t="s">
        <v>221</v>
      </c>
      <c r="C319" s="75"/>
      <c r="D319" s="75"/>
      <c r="E319" s="75"/>
      <c r="F319" s="84"/>
    </row>
    <row r="320" spans="1:6" x14ac:dyDescent="0.3">
      <c r="A320" s="31"/>
      <c r="B320" s="19"/>
      <c r="C320" s="75"/>
      <c r="D320" s="75"/>
      <c r="E320" s="75"/>
      <c r="F320" s="84"/>
    </row>
    <row r="321" spans="1:6" x14ac:dyDescent="0.3">
      <c r="A321" s="31"/>
      <c r="B321" s="19" t="s">
        <v>222</v>
      </c>
      <c r="C321" s="75"/>
      <c r="D321" s="75"/>
      <c r="E321" s="75"/>
      <c r="F321" s="84"/>
    </row>
    <row r="322" spans="1:6" x14ac:dyDescent="0.3">
      <c r="A322" s="31"/>
      <c r="B322" s="19" t="s">
        <v>223</v>
      </c>
      <c r="C322" s="75"/>
      <c r="D322" s="75"/>
      <c r="E322" s="75"/>
      <c r="F322" s="84"/>
    </row>
    <row r="323" spans="1:6" x14ac:dyDescent="0.3">
      <c r="A323" s="31"/>
      <c r="B323" s="19" t="s">
        <v>243</v>
      </c>
      <c r="C323" s="75"/>
      <c r="D323" s="75"/>
      <c r="E323" s="75"/>
      <c r="F323" s="84"/>
    </row>
    <row r="324" spans="1:6" x14ac:dyDescent="0.3">
      <c r="A324" s="31"/>
      <c r="B324" s="19" t="s">
        <v>244</v>
      </c>
      <c r="C324" s="75"/>
      <c r="D324" s="75"/>
      <c r="E324" s="75"/>
      <c r="F324" s="84"/>
    </row>
    <row r="325" spans="1:6" x14ac:dyDescent="0.3">
      <c r="A325" s="31"/>
      <c r="B325" s="19" t="s">
        <v>245</v>
      </c>
      <c r="C325" s="75"/>
      <c r="D325" s="75"/>
      <c r="E325" s="75"/>
      <c r="F325" s="84"/>
    </row>
    <row r="326" spans="1:6" x14ac:dyDescent="0.3">
      <c r="A326" s="31"/>
      <c r="B326" s="19" t="s">
        <v>224</v>
      </c>
      <c r="C326" s="75"/>
      <c r="D326" s="75"/>
      <c r="E326" s="75"/>
      <c r="F326" s="84"/>
    </row>
    <row r="327" spans="1:6" x14ac:dyDescent="0.3">
      <c r="A327" s="31"/>
      <c r="B327" s="19"/>
      <c r="C327" s="75"/>
      <c r="D327" s="75"/>
      <c r="E327" s="75"/>
      <c r="F327" s="84"/>
    </row>
    <row r="328" spans="1:6" x14ac:dyDescent="0.3">
      <c r="A328" s="31"/>
      <c r="B328" s="19" t="s">
        <v>225</v>
      </c>
      <c r="C328" s="75" t="s">
        <v>61</v>
      </c>
      <c r="D328" s="75">
        <v>1</v>
      </c>
      <c r="E328" s="75"/>
      <c r="F328" s="70">
        <f>D328*E328</f>
        <v>0</v>
      </c>
    </row>
    <row r="329" spans="1:6" x14ac:dyDescent="0.3">
      <c r="A329" s="31"/>
      <c r="B329" s="19"/>
      <c r="C329" s="75"/>
      <c r="D329" s="75"/>
      <c r="E329" s="75"/>
      <c r="F329" s="84"/>
    </row>
    <row r="330" spans="1:6" x14ac:dyDescent="0.3">
      <c r="A330" s="31"/>
      <c r="B330" s="34" t="s">
        <v>248</v>
      </c>
      <c r="C330" s="75"/>
      <c r="D330" s="75"/>
      <c r="E330" s="75"/>
      <c r="F330" s="84"/>
    </row>
    <row r="331" spans="1:6" x14ac:dyDescent="0.3">
      <c r="A331" s="31"/>
      <c r="B331" s="19"/>
      <c r="C331" s="75"/>
      <c r="D331" s="75"/>
      <c r="E331" s="75"/>
      <c r="F331" s="84"/>
    </row>
    <row r="332" spans="1:6" s="50" customFormat="1" ht="27.6" x14ac:dyDescent="0.3">
      <c r="A332" s="31" t="s">
        <v>39</v>
      </c>
      <c r="B332" s="69" t="s">
        <v>226</v>
      </c>
      <c r="C332" s="76" t="s">
        <v>52</v>
      </c>
      <c r="D332" s="76">
        <v>28</v>
      </c>
      <c r="E332" s="76"/>
      <c r="F332" s="70">
        <f>D332*E332</f>
        <v>0</v>
      </c>
    </row>
    <row r="333" spans="1:6" s="50" customFormat="1" x14ac:dyDescent="0.3">
      <c r="A333" s="31"/>
      <c r="B333" s="69"/>
      <c r="C333" s="76"/>
      <c r="D333" s="76"/>
      <c r="E333" s="76"/>
      <c r="F333" s="114"/>
    </row>
    <row r="334" spans="1:6" s="50" customFormat="1" x14ac:dyDescent="0.3">
      <c r="A334" s="31" t="s">
        <v>40</v>
      </c>
      <c r="B334" s="69" t="s">
        <v>227</v>
      </c>
      <c r="C334" s="76" t="s">
        <v>240</v>
      </c>
      <c r="D334" s="76">
        <v>2</v>
      </c>
      <c r="E334" s="76"/>
      <c r="F334" s="70">
        <f>D334*E334</f>
        <v>0</v>
      </c>
    </row>
    <row r="335" spans="1:6" s="50" customFormat="1" x14ac:dyDescent="0.3">
      <c r="A335" s="31"/>
      <c r="B335" s="69"/>
      <c r="C335" s="76"/>
      <c r="D335" s="76"/>
      <c r="E335" s="76"/>
      <c r="F335" s="114"/>
    </row>
    <row r="336" spans="1:6" s="50" customFormat="1" x14ac:dyDescent="0.3">
      <c r="A336" s="31" t="s">
        <v>44</v>
      </c>
      <c r="B336" s="69" t="s">
        <v>228</v>
      </c>
      <c r="C336" s="76" t="s">
        <v>240</v>
      </c>
      <c r="D336" s="76">
        <v>2</v>
      </c>
      <c r="E336" s="76"/>
      <c r="F336" s="70">
        <f>D336*E336</f>
        <v>0</v>
      </c>
    </row>
    <row r="337" spans="1:6" s="50" customFormat="1" x14ac:dyDescent="0.3">
      <c r="A337" s="31"/>
      <c r="B337" s="69"/>
      <c r="C337" s="76"/>
      <c r="D337" s="76"/>
      <c r="E337" s="76"/>
      <c r="F337" s="114"/>
    </row>
    <row r="338" spans="1:6" s="50" customFormat="1" x14ac:dyDescent="0.3">
      <c r="A338" s="31" t="s">
        <v>46</v>
      </c>
      <c r="B338" s="69" t="s">
        <v>229</v>
      </c>
      <c r="C338" s="76" t="s">
        <v>240</v>
      </c>
      <c r="D338" s="76">
        <v>2</v>
      </c>
      <c r="E338" s="76"/>
      <c r="F338" s="70">
        <f>D338*E338</f>
        <v>0</v>
      </c>
    </row>
    <row r="339" spans="1:6" s="50" customFormat="1" x14ac:dyDescent="0.3">
      <c r="A339" s="31"/>
      <c r="B339" s="69"/>
      <c r="C339" s="76"/>
      <c r="D339" s="76"/>
      <c r="E339" s="76"/>
      <c r="F339" s="114"/>
    </row>
    <row r="340" spans="1:6" s="50" customFormat="1" x14ac:dyDescent="0.3">
      <c r="A340" s="31" t="s">
        <v>48</v>
      </c>
      <c r="B340" s="69" t="s">
        <v>230</v>
      </c>
      <c r="C340" s="76" t="s">
        <v>240</v>
      </c>
      <c r="D340" s="76">
        <v>2</v>
      </c>
      <c r="E340" s="76"/>
      <c r="F340" s="70">
        <f>D340*E340</f>
        <v>0</v>
      </c>
    </row>
    <row r="341" spans="1:6" s="50" customFormat="1" x14ac:dyDescent="0.3">
      <c r="A341" s="31"/>
      <c r="B341" s="69"/>
      <c r="C341" s="76"/>
      <c r="D341" s="76"/>
      <c r="E341" s="76"/>
      <c r="F341" s="114"/>
    </row>
    <row r="342" spans="1:6" s="50" customFormat="1" x14ac:dyDescent="0.3">
      <c r="A342" s="31" t="s">
        <v>50</v>
      </c>
      <c r="B342" s="69" t="s">
        <v>231</v>
      </c>
      <c r="C342" s="76" t="s">
        <v>240</v>
      </c>
      <c r="D342" s="76">
        <v>2</v>
      </c>
      <c r="E342" s="76"/>
      <c r="F342" s="70">
        <f>D342*E342</f>
        <v>0</v>
      </c>
    </row>
    <row r="343" spans="1:6" x14ac:dyDescent="0.3">
      <c r="A343" s="31"/>
      <c r="B343" s="19"/>
      <c r="C343" s="75"/>
      <c r="D343" s="75"/>
      <c r="E343" s="75"/>
      <c r="F343" s="84"/>
    </row>
    <row r="344" spans="1:6" x14ac:dyDescent="0.3">
      <c r="A344" s="31"/>
      <c r="B344" s="34" t="s">
        <v>249</v>
      </c>
      <c r="C344" s="75"/>
      <c r="D344" s="75"/>
      <c r="E344" s="75"/>
      <c r="F344" s="84"/>
    </row>
    <row r="345" spans="1:6" x14ac:dyDescent="0.3">
      <c r="A345" s="31"/>
      <c r="B345" s="19"/>
      <c r="C345" s="75"/>
      <c r="D345" s="75"/>
      <c r="E345" s="75"/>
      <c r="F345" s="84"/>
    </row>
    <row r="346" spans="1:6" ht="83.4" x14ac:dyDescent="0.3">
      <c r="A346" s="31"/>
      <c r="B346" s="35" t="s">
        <v>233</v>
      </c>
      <c r="C346" s="75"/>
      <c r="D346" s="75"/>
      <c r="E346" s="75"/>
      <c r="F346" s="84"/>
    </row>
    <row r="347" spans="1:6" s="50" customFormat="1" x14ac:dyDescent="0.3">
      <c r="A347" s="31"/>
      <c r="B347" s="69"/>
      <c r="C347" s="76"/>
      <c r="D347" s="76"/>
      <c r="E347" s="76"/>
      <c r="F347" s="114"/>
    </row>
    <row r="348" spans="1:6" s="50" customFormat="1" ht="27.6" x14ac:dyDescent="0.3">
      <c r="A348" s="31" t="s">
        <v>51</v>
      </c>
      <c r="B348" s="69" t="s">
        <v>246</v>
      </c>
      <c r="C348" s="76" t="s">
        <v>241</v>
      </c>
      <c r="D348" s="76">
        <v>8</v>
      </c>
      <c r="E348" s="76"/>
      <c r="F348" s="70">
        <f>D348*E348</f>
        <v>0</v>
      </c>
    </row>
    <row r="349" spans="1:6" x14ac:dyDescent="0.3">
      <c r="A349" s="31"/>
      <c r="B349" s="19"/>
      <c r="C349" s="75"/>
      <c r="D349" s="75"/>
      <c r="E349" s="75"/>
      <c r="F349" s="84"/>
    </row>
    <row r="350" spans="1:6" x14ac:dyDescent="0.3">
      <c r="A350" s="31"/>
      <c r="B350" s="34" t="s">
        <v>250</v>
      </c>
      <c r="C350" s="75"/>
      <c r="D350" s="75"/>
      <c r="E350" s="75"/>
      <c r="F350" s="84"/>
    </row>
    <row r="351" spans="1:6" x14ac:dyDescent="0.3">
      <c r="A351" s="31"/>
      <c r="B351" s="19"/>
      <c r="C351" s="75"/>
      <c r="D351" s="75"/>
      <c r="E351" s="75"/>
      <c r="F351" s="84"/>
    </row>
    <row r="352" spans="1:6" ht="55.8" x14ac:dyDescent="0.3">
      <c r="A352" s="31"/>
      <c r="B352" s="35" t="s">
        <v>235</v>
      </c>
      <c r="C352" s="75"/>
      <c r="D352" s="75"/>
      <c r="E352" s="75"/>
      <c r="F352" s="84"/>
    </row>
    <row r="353" spans="1:6" x14ac:dyDescent="0.3">
      <c r="A353" s="31"/>
      <c r="B353" s="19"/>
      <c r="C353" s="75"/>
      <c r="D353" s="75"/>
      <c r="E353" s="75"/>
      <c r="F353" s="84"/>
    </row>
    <row r="354" spans="1:6" x14ac:dyDescent="0.3">
      <c r="A354" s="31" t="s">
        <v>55</v>
      </c>
      <c r="B354" s="19" t="s">
        <v>251</v>
      </c>
      <c r="C354" s="75" t="s">
        <v>61</v>
      </c>
      <c r="D354" s="75">
        <v>2</v>
      </c>
      <c r="E354" s="75"/>
      <c r="F354" s="70">
        <f>D354*E354</f>
        <v>0</v>
      </c>
    </row>
    <row r="355" spans="1:6" x14ac:dyDescent="0.3">
      <c r="A355" s="31"/>
      <c r="B355" s="19"/>
      <c r="C355" s="75"/>
      <c r="D355" s="75"/>
      <c r="E355" s="75"/>
      <c r="F355" s="84"/>
    </row>
    <row r="356" spans="1:6" x14ac:dyDescent="0.3">
      <c r="A356" s="31" t="s">
        <v>70</v>
      </c>
      <c r="B356" s="19" t="s">
        <v>236</v>
      </c>
      <c r="C356" s="75" t="s">
        <v>241</v>
      </c>
      <c r="D356" s="75">
        <v>1</v>
      </c>
      <c r="E356" s="75"/>
      <c r="F356" s="70">
        <f>D356*E356</f>
        <v>0</v>
      </c>
    </row>
    <row r="357" spans="1:6" x14ac:dyDescent="0.3">
      <c r="A357" s="31"/>
      <c r="B357" s="19"/>
      <c r="C357" s="75"/>
      <c r="D357" s="75"/>
      <c r="E357" s="75"/>
      <c r="F357" s="84"/>
    </row>
    <row r="358" spans="1:6" x14ac:dyDescent="0.3">
      <c r="A358" s="31"/>
      <c r="B358" s="34" t="s">
        <v>252</v>
      </c>
      <c r="C358" s="75"/>
      <c r="D358" s="75"/>
      <c r="E358" s="75"/>
      <c r="F358" s="84"/>
    </row>
    <row r="359" spans="1:6" x14ac:dyDescent="0.3">
      <c r="A359" s="31"/>
      <c r="B359" s="19"/>
      <c r="C359" s="75"/>
      <c r="D359" s="75"/>
      <c r="E359" s="75"/>
      <c r="F359" s="84"/>
    </row>
    <row r="360" spans="1:6" ht="69.599999999999994" x14ac:dyDescent="0.3">
      <c r="A360" s="31"/>
      <c r="B360" s="35" t="s">
        <v>476</v>
      </c>
      <c r="C360" s="75"/>
      <c r="D360" s="75"/>
      <c r="E360" s="75"/>
      <c r="F360" s="84"/>
    </row>
    <row r="361" spans="1:6" x14ac:dyDescent="0.3">
      <c r="A361" s="31"/>
      <c r="B361" s="19"/>
      <c r="C361" s="75"/>
      <c r="D361" s="75"/>
      <c r="E361" s="75"/>
      <c r="F361" s="84"/>
    </row>
    <row r="362" spans="1:6" x14ac:dyDescent="0.3">
      <c r="A362" s="31" t="s">
        <v>60</v>
      </c>
      <c r="B362" s="19" t="s">
        <v>477</v>
      </c>
      <c r="C362" s="75" t="s">
        <v>241</v>
      </c>
      <c r="D362" s="75">
        <v>4</v>
      </c>
      <c r="E362" s="75"/>
      <c r="F362" s="70">
        <f>D362*E362</f>
        <v>0</v>
      </c>
    </row>
    <row r="363" spans="1:6" x14ac:dyDescent="0.3">
      <c r="A363" s="31"/>
      <c r="B363" s="19"/>
      <c r="C363" s="75"/>
      <c r="D363" s="75"/>
      <c r="E363" s="75"/>
      <c r="F363" s="84"/>
    </row>
    <row r="364" spans="1:6" x14ac:dyDescent="0.3">
      <c r="A364" s="31"/>
      <c r="B364" s="34" t="s">
        <v>253</v>
      </c>
      <c r="C364" s="75"/>
      <c r="D364" s="75"/>
      <c r="E364" s="75"/>
      <c r="F364" s="84"/>
    </row>
    <row r="365" spans="1:6" x14ac:dyDescent="0.3">
      <c r="A365" s="31"/>
      <c r="B365" s="19"/>
      <c r="C365" s="75"/>
      <c r="D365" s="75"/>
      <c r="E365" s="75"/>
      <c r="F365" s="84"/>
    </row>
    <row r="366" spans="1:6" ht="28.2" x14ac:dyDescent="0.3">
      <c r="A366" s="31"/>
      <c r="B366" s="35" t="s">
        <v>237</v>
      </c>
      <c r="C366" s="75"/>
      <c r="D366" s="75"/>
      <c r="E366" s="75"/>
      <c r="F366" s="84"/>
    </row>
    <row r="367" spans="1:6" x14ac:dyDescent="0.3">
      <c r="A367" s="31"/>
      <c r="B367" s="19"/>
      <c r="C367" s="75"/>
      <c r="D367" s="75"/>
      <c r="E367" s="75"/>
      <c r="F367" s="84"/>
    </row>
    <row r="368" spans="1:6" x14ac:dyDescent="0.3">
      <c r="A368" s="31" t="s">
        <v>90</v>
      </c>
      <c r="B368" s="19" t="s">
        <v>238</v>
      </c>
      <c r="C368" s="75" t="s">
        <v>61</v>
      </c>
      <c r="D368" s="75">
        <v>6</v>
      </c>
      <c r="E368" s="75"/>
      <c r="F368" s="70">
        <f>D368*E368</f>
        <v>0</v>
      </c>
    </row>
    <row r="369" spans="1:6" x14ac:dyDescent="0.3">
      <c r="A369" s="31"/>
      <c r="B369" s="19"/>
      <c r="C369" s="75"/>
      <c r="D369" s="75"/>
      <c r="E369" s="75"/>
      <c r="F369" s="84"/>
    </row>
    <row r="370" spans="1:6" s="50" customFormat="1" ht="27.6" x14ac:dyDescent="0.3">
      <c r="A370" s="31" t="s">
        <v>93</v>
      </c>
      <c r="B370" s="69" t="s">
        <v>239</v>
      </c>
      <c r="C370" s="76" t="s">
        <v>61</v>
      </c>
      <c r="D370" s="76">
        <v>4</v>
      </c>
      <c r="E370" s="76"/>
      <c r="F370" s="70">
        <f>D370*E370</f>
        <v>0</v>
      </c>
    </row>
    <row r="371" spans="1:6" x14ac:dyDescent="0.3">
      <c r="A371" s="31"/>
      <c r="B371" s="19"/>
      <c r="C371" s="75"/>
      <c r="D371" s="75"/>
      <c r="E371" s="75"/>
      <c r="F371" s="84"/>
    </row>
    <row r="372" spans="1:6" s="50" customFormat="1" ht="27.6" x14ac:dyDescent="0.3">
      <c r="A372" s="87"/>
      <c r="B372" s="2" t="s">
        <v>242</v>
      </c>
      <c r="C372" s="30"/>
      <c r="D372" s="30"/>
      <c r="E372" s="242" t="s">
        <v>43</v>
      </c>
      <c r="F372" s="58">
        <f>SUM(F319:F370)</f>
        <v>0</v>
      </c>
    </row>
    <row r="373" spans="1:6" x14ac:dyDescent="0.3">
      <c r="A373" s="109"/>
      <c r="B373" s="110"/>
      <c r="C373" s="111"/>
      <c r="D373" s="112"/>
      <c r="E373" s="111"/>
      <c r="F373" s="113"/>
    </row>
    <row r="374" spans="1:6" x14ac:dyDescent="0.3">
      <c r="A374" s="71">
        <v>8</v>
      </c>
      <c r="B374" s="33" t="s">
        <v>254</v>
      </c>
      <c r="C374" s="75"/>
      <c r="D374" s="75"/>
      <c r="E374" s="75"/>
      <c r="F374" s="84"/>
    </row>
    <row r="375" spans="1:6" x14ac:dyDescent="0.3">
      <c r="A375" s="31"/>
      <c r="B375" s="19"/>
      <c r="C375" s="75"/>
      <c r="D375" s="75"/>
      <c r="E375" s="75"/>
      <c r="F375" s="84"/>
    </row>
    <row r="376" spans="1:6" x14ac:dyDescent="0.3">
      <c r="A376" s="31"/>
      <c r="B376" s="34" t="s">
        <v>255</v>
      </c>
      <c r="C376" s="75"/>
      <c r="D376" s="75"/>
      <c r="E376" s="75"/>
      <c r="F376" s="84"/>
    </row>
    <row r="377" spans="1:6" x14ac:dyDescent="0.3">
      <c r="A377" s="31"/>
      <c r="B377" s="19"/>
      <c r="C377" s="75"/>
      <c r="D377" s="75"/>
      <c r="E377" s="75"/>
      <c r="F377" s="84"/>
    </row>
    <row r="378" spans="1:6" x14ac:dyDescent="0.3">
      <c r="A378" s="31"/>
      <c r="B378" s="35" t="s">
        <v>256</v>
      </c>
      <c r="C378" s="75"/>
      <c r="D378" s="75"/>
      <c r="E378" s="75"/>
      <c r="F378" s="84"/>
    </row>
    <row r="379" spans="1:6" x14ac:dyDescent="0.3">
      <c r="A379" s="31"/>
      <c r="B379" s="19"/>
      <c r="C379" s="75"/>
      <c r="D379" s="75"/>
      <c r="E379" s="75"/>
      <c r="F379" s="84"/>
    </row>
    <row r="380" spans="1:6" s="50" customFormat="1" ht="41.4" x14ac:dyDescent="0.3">
      <c r="A380" s="31" t="s">
        <v>36</v>
      </c>
      <c r="B380" s="69" t="s">
        <v>257</v>
      </c>
      <c r="C380" s="76" t="s">
        <v>65</v>
      </c>
      <c r="D380" s="76">
        <v>128</v>
      </c>
      <c r="E380" s="76"/>
      <c r="F380" s="70">
        <f>D380*E380</f>
        <v>0</v>
      </c>
    </row>
    <row r="381" spans="1:6" x14ac:dyDescent="0.3">
      <c r="A381" s="31"/>
      <c r="B381" s="19"/>
      <c r="C381" s="75"/>
      <c r="D381" s="75"/>
      <c r="E381" s="75"/>
      <c r="F381" s="84"/>
    </row>
    <row r="382" spans="1:6" s="50" customFormat="1" ht="27.6" x14ac:dyDescent="0.3">
      <c r="A382" s="31" t="s">
        <v>39</v>
      </c>
      <c r="B382" s="69" t="s">
        <v>258</v>
      </c>
      <c r="C382" s="76" t="s">
        <v>52</v>
      </c>
      <c r="D382" s="76">
        <v>43</v>
      </c>
      <c r="E382" s="76"/>
      <c r="F382" s="70">
        <f>D382*E382</f>
        <v>0</v>
      </c>
    </row>
    <row r="383" spans="1:6" x14ac:dyDescent="0.3">
      <c r="A383" s="31"/>
      <c r="B383" s="19"/>
      <c r="C383" s="75"/>
      <c r="D383" s="75"/>
      <c r="E383" s="75"/>
      <c r="F383" s="84"/>
    </row>
    <row r="384" spans="1:6" x14ac:dyDescent="0.3">
      <c r="A384" s="31"/>
      <c r="B384" s="34" t="s">
        <v>259</v>
      </c>
      <c r="C384" s="75"/>
      <c r="D384" s="75"/>
      <c r="E384" s="75"/>
      <c r="F384" s="70"/>
    </row>
    <row r="385" spans="1:6" x14ac:dyDescent="0.3">
      <c r="A385" s="31"/>
      <c r="B385" s="19"/>
      <c r="C385" s="75"/>
      <c r="D385" s="75"/>
      <c r="E385" s="75"/>
      <c r="F385" s="84"/>
    </row>
    <row r="386" spans="1:6" x14ac:dyDescent="0.3">
      <c r="A386" s="31"/>
      <c r="B386" s="34" t="s">
        <v>255</v>
      </c>
      <c r="C386" s="75"/>
      <c r="D386" s="75"/>
      <c r="E386" s="75"/>
      <c r="F386" s="70"/>
    </row>
    <row r="387" spans="1:6" x14ac:dyDescent="0.3">
      <c r="A387" s="31"/>
      <c r="B387" s="19"/>
      <c r="C387" s="75"/>
      <c r="D387" s="75"/>
      <c r="E387" s="75"/>
      <c r="F387" s="84"/>
    </row>
    <row r="388" spans="1:6" ht="28.2" x14ac:dyDescent="0.3">
      <c r="A388" s="31"/>
      <c r="B388" s="35" t="s">
        <v>260</v>
      </c>
      <c r="C388" s="75"/>
      <c r="D388" s="75"/>
      <c r="E388" s="75"/>
      <c r="F388" s="70"/>
    </row>
    <row r="389" spans="1:6" x14ac:dyDescent="0.3">
      <c r="A389" s="31"/>
      <c r="B389" s="19"/>
      <c r="C389" s="75"/>
      <c r="D389" s="75"/>
      <c r="E389" s="75"/>
      <c r="F389" s="84"/>
    </row>
    <row r="390" spans="1:6" x14ac:dyDescent="0.3">
      <c r="A390" s="31" t="s">
        <v>40</v>
      </c>
      <c r="B390" s="19" t="s">
        <v>261</v>
      </c>
      <c r="C390" s="75" t="s">
        <v>65</v>
      </c>
      <c r="D390" s="75">
        <v>164</v>
      </c>
      <c r="E390" s="75"/>
      <c r="F390" s="70">
        <f>D390*E390</f>
        <v>0</v>
      </c>
    </row>
    <row r="391" spans="1:6" x14ac:dyDescent="0.3">
      <c r="A391" s="31"/>
      <c r="B391" s="19"/>
      <c r="C391" s="75"/>
      <c r="D391" s="75"/>
      <c r="E391" s="75"/>
      <c r="F391" s="84"/>
    </row>
    <row r="392" spans="1:6" x14ac:dyDescent="0.3">
      <c r="A392" s="31" t="s">
        <v>44</v>
      </c>
      <c r="B392" s="19" t="s">
        <v>262</v>
      </c>
      <c r="C392" s="75" t="s">
        <v>52</v>
      </c>
      <c r="D392" s="75">
        <v>48</v>
      </c>
      <c r="E392" s="75"/>
      <c r="F392" s="70">
        <f>D392*E392</f>
        <v>0</v>
      </c>
    </row>
    <row r="393" spans="1:6" x14ac:dyDescent="0.3">
      <c r="A393" s="31"/>
      <c r="B393" s="19"/>
      <c r="C393" s="75"/>
      <c r="D393" s="75"/>
      <c r="E393" s="75"/>
      <c r="F393" s="84"/>
    </row>
    <row r="394" spans="1:6" ht="28.2" x14ac:dyDescent="0.3">
      <c r="A394" s="31"/>
      <c r="B394" s="35" t="s">
        <v>263</v>
      </c>
      <c r="C394" s="75"/>
      <c r="D394" s="75"/>
      <c r="E394" s="75"/>
      <c r="F394" s="70"/>
    </row>
    <row r="395" spans="1:6" x14ac:dyDescent="0.3">
      <c r="A395" s="31"/>
      <c r="B395" s="19"/>
      <c r="C395" s="75"/>
      <c r="D395" s="75"/>
      <c r="E395" s="75"/>
      <c r="F395" s="84"/>
    </row>
    <row r="396" spans="1:6" x14ac:dyDescent="0.3">
      <c r="A396" s="31" t="s">
        <v>46</v>
      </c>
      <c r="B396" s="19" t="s">
        <v>261</v>
      </c>
      <c r="C396" s="75" t="s">
        <v>65</v>
      </c>
      <c r="D396" s="75">
        <v>178</v>
      </c>
      <c r="E396" s="75"/>
      <c r="F396" s="70">
        <f>D396*E396</f>
        <v>0</v>
      </c>
    </row>
    <row r="397" spans="1:6" x14ac:dyDescent="0.3">
      <c r="A397" s="31"/>
      <c r="B397" s="19"/>
      <c r="C397" s="75"/>
      <c r="D397" s="75"/>
      <c r="E397" s="75"/>
      <c r="F397" s="84"/>
    </row>
    <row r="398" spans="1:6" x14ac:dyDescent="0.3">
      <c r="A398" s="31" t="s">
        <v>48</v>
      </c>
      <c r="B398" s="19" t="s">
        <v>262</v>
      </c>
      <c r="C398" s="75" t="s">
        <v>52</v>
      </c>
      <c r="D398" s="75">
        <v>48</v>
      </c>
      <c r="E398" s="75"/>
      <c r="F398" s="70">
        <f>D398*E398</f>
        <v>0</v>
      </c>
    </row>
    <row r="399" spans="1:6" x14ac:dyDescent="0.3">
      <c r="A399" s="31"/>
      <c r="B399" s="19"/>
      <c r="C399" s="75"/>
      <c r="D399" s="75"/>
      <c r="E399" s="75"/>
      <c r="F399" s="84"/>
    </row>
    <row r="400" spans="1:6" ht="27.6" x14ac:dyDescent="0.3">
      <c r="A400" s="87"/>
      <c r="B400" s="2" t="s">
        <v>266</v>
      </c>
      <c r="C400" s="30"/>
      <c r="D400" s="30"/>
      <c r="E400" s="242" t="s">
        <v>43</v>
      </c>
      <c r="F400" s="58">
        <f>SUM(F380:F398)</f>
        <v>0</v>
      </c>
    </row>
    <row r="401" spans="1:6" x14ac:dyDescent="0.3">
      <c r="A401" s="109"/>
      <c r="B401" s="110"/>
      <c r="C401" s="111"/>
      <c r="D401" s="112"/>
      <c r="E401" s="111"/>
      <c r="F401" s="113"/>
    </row>
    <row r="402" spans="1:6" x14ac:dyDescent="0.3">
      <c r="A402" s="71">
        <v>9</v>
      </c>
      <c r="B402" s="33" t="s">
        <v>267</v>
      </c>
      <c r="C402" s="75"/>
      <c r="D402" s="75"/>
      <c r="E402" s="75"/>
      <c r="F402" s="84"/>
    </row>
    <row r="403" spans="1:6" x14ac:dyDescent="0.3">
      <c r="A403" s="31"/>
      <c r="B403" s="19"/>
      <c r="C403" s="75"/>
      <c r="D403" s="75"/>
      <c r="E403" s="75"/>
      <c r="F403" s="84"/>
    </row>
    <row r="404" spans="1:6" ht="28.2" x14ac:dyDescent="0.3">
      <c r="A404" s="31"/>
      <c r="B404" s="34" t="s">
        <v>268</v>
      </c>
      <c r="C404" s="75"/>
      <c r="D404" s="75"/>
      <c r="E404" s="75"/>
      <c r="F404" s="84"/>
    </row>
    <row r="405" spans="1:6" x14ac:dyDescent="0.3">
      <c r="A405" s="31"/>
      <c r="B405" s="19"/>
      <c r="C405" s="75"/>
      <c r="D405" s="75"/>
      <c r="E405" s="75"/>
      <c r="F405" s="84"/>
    </row>
    <row r="406" spans="1:6" x14ac:dyDescent="0.3">
      <c r="A406" s="31" t="s">
        <v>36</v>
      </c>
      <c r="B406" s="35" t="s">
        <v>269</v>
      </c>
      <c r="C406" s="75" t="s">
        <v>65</v>
      </c>
      <c r="D406" s="75">
        <v>164</v>
      </c>
      <c r="E406" s="75"/>
      <c r="F406" s="70">
        <f>D406*E406</f>
        <v>0</v>
      </c>
    </row>
    <row r="407" spans="1:6" x14ac:dyDescent="0.3">
      <c r="A407" s="31"/>
      <c r="B407" s="19"/>
      <c r="C407" s="75"/>
      <c r="D407" s="75"/>
      <c r="E407" s="75"/>
      <c r="F407" s="84"/>
    </row>
    <row r="408" spans="1:6" x14ac:dyDescent="0.3">
      <c r="A408" s="31" t="s">
        <v>39</v>
      </c>
      <c r="B408" s="69" t="s">
        <v>270</v>
      </c>
      <c r="C408" s="76" t="s">
        <v>65</v>
      </c>
      <c r="D408" s="76">
        <v>178</v>
      </c>
      <c r="E408" s="76"/>
      <c r="F408" s="70">
        <f>D408*E408</f>
        <v>0</v>
      </c>
    </row>
    <row r="409" spans="1:6" x14ac:dyDescent="0.3">
      <c r="A409" s="31"/>
      <c r="B409" s="19"/>
      <c r="C409" s="75"/>
      <c r="D409" s="75"/>
      <c r="E409" s="75"/>
      <c r="F409" s="84"/>
    </row>
    <row r="410" spans="1:6" ht="55.2" x14ac:dyDescent="0.3">
      <c r="A410" s="31"/>
      <c r="B410" s="69" t="s">
        <v>271</v>
      </c>
      <c r="C410" s="76"/>
      <c r="D410" s="76"/>
      <c r="E410" s="76"/>
      <c r="F410" s="70">
        <f>D410*E410</f>
        <v>0</v>
      </c>
    </row>
    <row r="411" spans="1:6" x14ac:dyDescent="0.3">
      <c r="A411" s="31"/>
      <c r="B411" s="19"/>
      <c r="C411" s="75"/>
      <c r="D411" s="75"/>
      <c r="E411" s="75"/>
      <c r="F411" s="84"/>
    </row>
    <row r="412" spans="1:6" x14ac:dyDescent="0.3">
      <c r="A412" s="31" t="s">
        <v>40</v>
      </c>
      <c r="B412" s="19" t="s">
        <v>272</v>
      </c>
      <c r="C412" s="75" t="s">
        <v>65</v>
      </c>
      <c r="D412" s="75">
        <v>28</v>
      </c>
      <c r="E412" s="75"/>
      <c r="F412" s="70">
        <f>D412*E412</f>
        <v>0</v>
      </c>
    </row>
    <row r="413" spans="1:6" x14ac:dyDescent="0.3">
      <c r="A413" s="31"/>
      <c r="B413" s="19"/>
      <c r="C413" s="75"/>
      <c r="D413" s="75"/>
      <c r="E413" s="75"/>
      <c r="F413" s="84"/>
    </row>
    <row r="414" spans="1:6" x14ac:dyDescent="0.3">
      <c r="A414" s="31" t="s">
        <v>44</v>
      </c>
      <c r="B414" s="19" t="s">
        <v>273</v>
      </c>
      <c r="C414" s="75" t="s">
        <v>65</v>
      </c>
      <c r="D414" s="75">
        <v>32</v>
      </c>
      <c r="E414" s="75"/>
      <c r="F414" s="70">
        <f>D414*E414</f>
        <v>0</v>
      </c>
    </row>
    <row r="415" spans="1:6" x14ac:dyDescent="0.3">
      <c r="A415" s="31"/>
      <c r="B415" s="19"/>
      <c r="C415" s="75"/>
      <c r="D415" s="75"/>
      <c r="E415" s="75"/>
      <c r="F415" s="84"/>
    </row>
    <row r="416" spans="1:6" ht="27.6" x14ac:dyDescent="0.3">
      <c r="A416" s="87"/>
      <c r="B416" s="2" t="s">
        <v>283</v>
      </c>
      <c r="C416" s="30"/>
      <c r="D416" s="30"/>
      <c r="E416" s="242" t="s">
        <v>43</v>
      </c>
      <c r="F416" s="58">
        <f>SUM(F406:F414)</f>
        <v>0</v>
      </c>
    </row>
    <row r="417" spans="1:6" x14ac:dyDescent="0.3">
      <c r="A417" s="59"/>
      <c r="B417" s="60"/>
      <c r="C417" s="78"/>
      <c r="D417" s="78"/>
      <c r="E417" s="78"/>
      <c r="F417" s="61"/>
    </row>
    <row r="418" spans="1:6" x14ac:dyDescent="0.3">
      <c r="A418" s="62"/>
      <c r="B418" s="316" t="s">
        <v>475</v>
      </c>
      <c r="C418" s="316"/>
      <c r="D418" s="316"/>
      <c r="E418" s="316"/>
      <c r="F418" s="63"/>
    </row>
    <row r="419" spans="1:6" x14ac:dyDescent="0.3">
      <c r="A419" s="62"/>
      <c r="B419" s="316" t="s">
        <v>282</v>
      </c>
      <c r="C419" s="316"/>
      <c r="D419" s="316"/>
      <c r="E419" s="316"/>
      <c r="F419" s="63"/>
    </row>
    <row r="420" spans="1:6" x14ac:dyDescent="0.3">
      <c r="A420" s="62"/>
      <c r="B420" s="316" t="s">
        <v>494</v>
      </c>
      <c r="C420" s="316"/>
      <c r="D420" s="316"/>
      <c r="E420" s="316"/>
      <c r="F420" s="63"/>
    </row>
    <row r="421" spans="1:6" x14ac:dyDescent="0.3">
      <c r="A421" s="64"/>
      <c r="B421" s="47"/>
      <c r="C421" s="79"/>
      <c r="D421" s="79"/>
      <c r="E421" s="79"/>
      <c r="F421" s="115"/>
    </row>
    <row r="422" spans="1:6" x14ac:dyDescent="0.3">
      <c r="A422" s="94"/>
      <c r="B422" s="116"/>
      <c r="C422" s="96"/>
      <c r="D422" s="96"/>
      <c r="E422" s="96"/>
      <c r="F422" s="117"/>
    </row>
    <row r="423" spans="1:6" x14ac:dyDescent="0.3">
      <c r="A423" s="31"/>
      <c r="B423" s="33"/>
      <c r="C423" s="75"/>
      <c r="D423" s="75"/>
      <c r="E423" s="75"/>
      <c r="F423" s="84"/>
    </row>
    <row r="424" spans="1:6" x14ac:dyDescent="0.3">
      <c r="A424" s="31"/>
      <c r="B424" s="33"/>
      <c r="C424" s="75"/>
      <c r="D424" s="75"/>
      <c r="E424" s="75"/>
      <c r="F424" s="84"/>
    </row>
    <row r="425" spans="1:6" x14ac:dyDescent="0.3">
      <c r="A425" s="31">
        <v>1</v>
      </c>
      <c r="B425" s="240" t="s">
        <v>75</v>
      </c>
      <c r="C425" s="75"/>
      <c r="D425" s="75"/>
      <c r="E425" s="75"/>
      <c r="F425" s="244">
        <f>F160</f>
        <v>0</v>
      </c>
    </row>
    <row r="426" spans="1:6" x14ac:dyDescent="0.3">
      <c r="A426" s="31"/>
      <c r="B426" s="240"/>
      <c r="C426" s="75"/>
      <c r="D426" s="75"/>
      <c r="E426" s="75"/>
      <c r="F426" s="244"/>
    </row>
    <row r="427" spans="1:6" x14ac:dyDescent="0.3">
      <c r="A427" s="31">
        <v>2</v>
      </c>
      <c r="B427" s="240" t="s">
        <v>275</v>
      </c>
      <c r="C427" s="75"/>
      <c r="D427" s="75"/>
      <c r="E427" s="75"/>
      <c r="F427" s="244">
        <f>F187</f>
        <v>0</v>
      </c>
    </row>
    <row r="428" spans="1:6" x14ac:dyDescent="0.3">
      <c r="A428" s="31"/>
      <c r="B428" s="240"/>
      <c r="C428" s="75"/>
      <c r="D428" s="75"/>
      <c r="E428" s="75"/>
      <c r="F428" s="244"/>
    </row>
    <row r="429" spans="1:6" x14ac:dyDescent="0.3">
      <c r="A429" s="31">
        <v>3</v>
      </c>
      <c r="B429" s="240" t="s">
        <v>276</v>
      </c>
      <c r="C429" s="75"/>
      <c r="D429" s="75"/>
      <c r="E429" s="75"/>
      <c r="F429" s="244">
        <f>F205</f>
        <v>0</v>
      </c>
    </row>
    <row r="430" spans="1:6" x14ac:dyDescent="0.3">
      <c r="A430" s="31"/>
      <c r="B430" s="240"/>
      <c r="C430" s="75"/>
      <c r="D430" s="75"/>
      <c r="E430" s="75"/>
      <c r="F430" s="244"/>
    </row>
    <row r="431" spans="1:6" x14ac:dyDescent="0.3">
      <c r="A431" s="31">
        <v>4</v>
      </c>
      <c r="B431" s="240" t="s">
        <v>277</v>
      </c>
      <c r="C431" s="75"/>
      <c r="D431" s="75"/>
      <c r="E431" s="75"/>
      <c r="F431" s="244">
        <f>F223</f>
        <v>0</v>
      </c>
    </row>
    <row r="432" spans="1:6" x14ac:dyDescent="0.3">
      <c r="A432" s="31"/>
      <c r="B432" s="240"/>
      <c r="C432" s="75"/>
      <c r="D432" s="75"/>
      <c r="E432" s="75"/>
      <c r="F432" s="244"/>
    </row>
    <row r="433" spans="1:6" x14ac:dyDescent="0.3">
      <c r="A433" s="31">
        <v>5</v>
      </c>
      <c r="B433" s="240" t="s">
        <v>177</v>
      </c>
      <c r="C433" s="75"/>
      <c r="D433" s="75"/>
      <c r="E433" s="75"/>
      <c r="F433" s="244">
        <f>F259</f>
        <v>0</v>
      </c>
    </row>
    <row r="434" spans="1:6" x14ac:dyDescent="0.3">
      <c r="A434" s="31"/>
      <c r="B434" s="240"/>
      <c r="C434" s="75"/>
      <c r="D434" s="75"/>
      <c r="E434" s="75"/>
      <c r="F434" s="244"/>
    </row>
    <row r="435" spans="1:6" x14ac:dyDescent="0.3">
      <c r="A435" s="31">
        <v>6</v>
      </c>
      <c r="B435" s="240" t="s">
        <v>192</v>
      </c>
      <c r="C435" s="75"/>
      <c r="D435" s="75"/>
      <c r="E435" s="75"/>
      <c r="F435" s="244">
        <f>F311</f>
        <v>0</v>
      </c>
    </row>
    <row r="436" spans="1:6" x14ac:dyDescent="0.3">
      <c r="A436" s="31"/>
      <c r="B436" s="240"/>
      <c r="C436" s="75"/>
      <c r="D436" s="75"/>
      <c r="E436" s="75"/>
      <c r="F436" s="244"/>
    </row>
    <row r="437" spans="1:6" x14ac:dyDescent="0.3">
      <c r="A437" s="31">
        <v>7</v>
      </c>
      <c r="B437" s="240" t="s">
        <v>278</v>
      </c>
      <c r="C437" s="75"/>
      <c r="D437" s="75"/>
      <c r="E437" s="75"/>
      <c r="F437" s="244">
        <f>F372</f>
        <v>0</v>
      </c>
    </row>
    <row r="438" spans="1:6" x14ac:dyDescent="0.3">
      <c r="A438" s="31"/>
      <c r="B438" s="240"/>
      <c r="C438" s="75"/>
      <c r="D438" s="75"/>
      <c r="E438" s="75"/>
      <c r="F438" s="244"/>
    </row>
    <row r="439" spans="1:6" x14ac:dyDescent="0.3">
      <c r="A439" s="31">
        <v>8</v>
      </c>
      <c r="B439" s="240" t="s">
        <v>279</v>
      </c>
      <c r="C439" s="75"/>
      <c r="D439" s="75"/>
      <c r="E439" s="75"/>
      <c r="F439" s="244">
        <f>F400</f>
        <v>0</v>
      </c>
    </row>
    <row r="440" spans="1:6" x14ac:dyDescent="0.3">
      <c r="A440" s="31"/>
      <c r="B440" s="240"/>
      <c r="C440" s="75"/>
      <c r="D440" s="75"/>
      <c r="E440" s="75"/>
      <c r="F440" s="244"/>
    </row>
    <row r="441" spans="1:6" x14ac:dyDescent="0.3">
      <c r="A441" s="31">
        <v>9</v>
      </c>
      <c r="B441" s="240" t="s">
        <v>280</v>
      </c>
      <c r="C441" s="75"/>
      <c r="D441" s="75"/>
      <c r="E441" s="75"/>
      <c r="F441" s="244">
        <f>F416</f>
        <v>0</v>
      </c>
    </row>
    <row r="442" spans="1:6" x14ac:dyDescent="0.3">
      <c r="A442" s="31"/>
      <c r="B442" s="33"/>
      <c r="C442" s="75"/>
      <c r="D442" s="75"/>
      <c r="E442" s="75"/>
      <c r="F442" s="84"/>
    </row>
    <row r="443" spans="1:6" x14ac:dyDescent="0.3">
      <c r="A443" s="87"/>
      <c r="B443" s="143" t="s">
        <v>513</v>
      </c>
      <c r="C443" s="85"/>
      <c r="D443" s="85"/>
      <c r="E443" s="85" t="s">
        <v>43</v>
      </c>
      <c r="F443" s="38">
        <f>SUM(F425:F441)</f>
        <v>0</v>
      </c>
    </row>
    <row r="444" spans="1:6" x14ac:dyDescent="0.3">
      <c r="A444" s="317"/>
      <c r="B444" s="318"/>
      <c r="C444" s="318"/>
      <c r="D444" s="318"/>
      <c r="E444" s="318"/>
      <c r="F444" s="319"/>
    </row>
    <row r="445" spans="1:6" x14ac:dyDescent="0.3">
      <c r="A445" s="119"/>
      <c r="B445" s="323" t="s">
        <v>71</v>
      </c>
      <c r="C445" s="323"/>
      <c r="D445" s="323"/>
      <c r="E445" s="323"/>
      <c r="F445" s="120"/>
    </row>
    <row r="446" spans="1:6" x14ac:dyDescent="0.3">
      <c r="A446" s="119"/>
      <c r="B446" s="325" t="s">
        <v>478</v>
      </c>
      <c r="C446" s="325"/>
      <c r="D446" s="325"/>
      <c r="E446" s="325"/>
      <c r="F446" s="120"/>
    </row>
    <row r="447" spans="1:6" x14ac:dyDescent="0.3">
      <c r="A447" s="119"/>
      <c r="B447" s="328"/>
      <c r="C447" s="328"/>
      <c r="D447" s="328"/>
      <c r="E447" s="328"/>
      <c r="F447" s="120"/>
    </row>
    <row r="448" spans="1:6" x14ac:dyDescent="0.3">
      <c r="A448" s="267" t="s">
        <v>284</v>
      </c>
      <c r="B448" s="268" t="s">
        <v>1</v>
      </c>
      <c r="C448" s="269" t="s">
        <v>2</v>
      </c>
      <c r="D448" s="270" t="s">
        <v>3</v>
      </c>
      <c r="E448" s="269" t="s">
        <v>4</v>
      </c>
      <c r="F448" s="271" t="s">
        <v>5</v>
      </c>
    </row>
    <row r="449" spans="1:6" x14ac:dyDescent="0.3">
      <c r="A449" s="176"/>
      <c r="B449" s="121"/>
      <c r="C449" s="41"/>
      <c r="D449" s="71"/>
      <c r="E449" s="83"/>
      <c r="F449" s="83"/>
    </row>
    <row r="450" spans="1:6" x14ac:dyDescent="0.3">
      <c r="A450" s="122">
        <v>1</v>
      </c>
      <c r="B450" s="123" t="s">
        <v>75</v>
      </c>
      <c r="C450" s="124"/>
      <c r="D450" s="31"/>
      <c r="E450" s="125"/>
      <c r="F450" s="125"/>
    </row>
    <row r="451" spans="1:6" x14ac:dyDescent="0.3">
      <c r="A451" s="102"/>
      <c r="B451" s="126"/>
      <c r="C451" s="124"/>
      <c r="D451" s="31"/>
      <c r="E451" s="125"/>
      <c r="F451" s="125"/>
    </row>
    <row r="452" spans="1:6" x14ac:dyDescent="0.3">
      <c r="A452" s="102"/>
      <c r="B452" s="127" t="s">
        <v>76</v>
      </c>
      <c r="C452" s="124"/>
      <c r="D452" s="31"/>
      <c r="E452" s="125"/>
      <c r="F452" s="125"/>
    </row>
    <row r="453" spans="1:6" x14ac:dyDescent="0.3">
      <c r="A453" s="102"/>
      <c r="B453" s="128"/>
      <c r="C453" s="124"/>
      <c r="D453" s="31"/>
      <c r="E453" s="125"/>
      <c r="F453" s="125"/>
    </row>
    <row r="454" spans="1:6" ht="41.4" x14ac:dyDescent="0.3">
      <c r="A454" s="102"/>
      <c r="B454" s="129" t="s">
        <v>78</v>
      </c>
      <c r="C454" s="124"/>
      <c r="D454" s="31"/>
      <c r="E454" s="125"/>
      <c r="F454" s="125"/>
    </row>
    <row r="455" spans="1:6" x14ac:dyDescent="0.3">
      <c r="A455" s="102"/>
      <c r="B455" s="126"/>
      <c r="C455" s="124"/>
      <c r="D455" s="31"/>
      <c r="E455" s="125"/>
      <c r="F455" s="125"/>
    </row>
    <row r="456" spans="1:6" x14ac:dyDescent="0.3">
      <c r="A456" s="102"/>
      <c r="B456" s="130" t="s">
        <v>285</v>
      </c>
      <c r="C456" s="124"/>
      <c r="D456" s="31"/>
      <c r="E456" s="125"/>
      <c r="F456" s="125"/>
    </row>
    <row r="457" spans="1:6" x14ac:dyDescent="0.3">
      <c r="A457" s="102"/>
      <c r="B457" s="126"/>
      <c r="C457" s="124"/>
      <c r="D457" s="31"/>
      <c r="E457" s="125"/>
      <c r="F457" s="125"/>
    </row>
    <row r="458" spans="1:6" ht="41.4" x14ac:dyDescent="0.3">
      <c r="A458" s="31" t="s">
        <v>36</v>
      </c>
      <c r="B458" s="69" t="s">
        <v>286</v>
      </c>
      <c r="C458" s="31" t="s">
        <v>66</v>
      </c>
      <c r="D458" s="31">
        <v>7</v>
      </c>
      <c r="E458" s="140"/>
      <c r="F458" s="131">
        <f>D458*E458</f>
        <v>0</v>
      </c>
    </row>
    <row r="459" spans="1:6" x14ac:dyDescent="0.3">
      <c r="A459" s="102"/>
      <c r="B459" s="126"/>
      <c r="C459" s="31"/>
      <c r="D459" s="200"/>
      <c r="E459" s="125"/>
      <c r="F459" s="125"/>
    </row>
    <row r="460" spans="1:6" ht="27.6" x14ac:dyDescent="0.3">
      <c r="A460" s="31" t="s">
        <v>39</v>
      </c>
      <c r="B460" s="89" t="s">
        <v>427</v>
      </c>
      <c r="C460" s="31" t="s">
        <v>66</v>
      </c>
      <c r="D460" s="31">
        <v>1</v>
      </c>
      <c r="E460" s="140"/>
      <c r="F460" s="131">
        <f>D460*E460</f>
        <v>0</v>
      </c>
    </row>
    <row r="461" spans="1:6" x14ac:dyDescent="0.3">
      <c r="A461" s="102"/>
      <c r="B461" s="126"/>
      <c r="C461" s="31"/>
      <c r="D461" s="31"/>
      <c r="E461" s="125"/>
      <c r="F461" s="125"/>
    </row>
    <row r="462" spans="1:6" ht="27.6" x14ac:dyDescent="0.3">
      <c r="A462" s="31" t="s">
        <v>40</v>
      </c>
      <c r="B462" s="69" t="s">
        <v>287</v>
      </c>
      <c r="C462" s="31" t="s">
        <v>66</v>
      </c>
      <c r="D462" s="31">
        <v>4</v>
      </c>
      <c r="E462" s="140"/>
      <c r="F462" s="131">
        <f>D462*E462</f>
        <v>0</v>
      </c>
    </row>
    <row r="463" spans="1:6" x14ac:dyDescent="0.3">
      <c r="A463" s="102"/>
      <c r="B463" s="126"/>
      <c r="C463" s="31"/>
      <c r="D463" s="31"/>
      <c r="E463" s="125"/>
      <c r="F463" s="125"/>
    </row>
    <row r="464" spans="1:6" ht="27.6" x14ac:dyDescent="0.3">
      <c r="A464" s="31" t="s">
        <v>44</v>
      </c>
      <c r="B464" s="69" t="s">
        <v>288</v>
      </c>
      <c r="C464" s="31" t="s">
        <v>66</v>
      </c>
      <c r="D464" s="31">
        <v>3</v>
      </c>
      <c r="E464" s="140"/>
      <c r="F464" s="131">
        <f>D464*E464</f>
        <v>0</v>
      </c>
    </row>
    <row r="465" spans="1:6" x14ac:dyDescent="0.3">
      <c r="A465" s="102"/>
      <c r="B465" s="126"/>
      <c r="C465" s="31"/>
      <c r="D465" s="200"/>
      <c r="E465" s="125"/>
      <c r="F465" s="125"/>
    </row>
    <row r="466" spans="1:6" x14ac:dyDescent="0.3">
      <c r="A466" s="102"/>
      <c r="B466" s="132" t="s">
        <v>289</v>
      </c>
      <c r="C466" s="31"/>
      <c r="D466" s="31"/>
      <c r="E466" s="125"/>
      <c r="F466" s="125"/>
    </row>
    <row r="467" spans="1:6" x14ac:dyDescent="0.3">
      <c r="A467" s="102"/>
      <c r="B467" s="126"/>
      <c r="C467" s="31"/>
      <c r="D467" s="31"/>
      <c r="E467" s="125"/>
      <c r="F467" s="125"/>
    </row>
    <row r="468" spans="1:6" ht="27.6" x14ac:dyDescent="0.3">
      <c r="A468" s="31" t="s">
        <v>46</v>
      </c>
      <c r="B468" s="69" t="s">
        <v>290</v>
      </c>
      <c r="C468" s="31" t="s">
        <v>65</v>
      </c>
      <c r="D468" s="31">
        <v>56</v>
      </c>
      <c r="E468" s="140"/>
      <c r="F468" s="131">
        <f>D468*E468</f>
        <v>0</v>
      </c>
    </row>
    <row r="469" spans="1:6" x14ac:dyDescent="0.3">
      <c r="A469" s="102"/>
      <c r="B469" s="126"/>
      <c r="C469" s="31"/>
      <c r="D469" s="200"/>
      <c r="E469" s="125"/>
      <c r="F469" s="125"/>
    </row>
    <row r="470" spans="1:6" x14ac:dyDescent="0.3">
      <c r="A470" s="102"/>
      <c r="B470" s="130" t="s">
        <v>291</v>
      </c>
      <c r="C470" s="31"/>
      <c r="D470" s="31"/>
      <c r="E470" s="125"/>
      <c r="F470" s="125"/>
    </row>
    <row r="471" spans="1:6" x14ac:dyDescent="0.3">
      <c r="A471" s="102"/>
      <c r="B471" s="126"/>
      <c r="C471" s="31"/>
      <c r="D471" s="31"/>
      <c r="E471" s="125"/>
      <c r="F471" s="125"/>
    </row>
    <row r="472" spans="1:6" ht="55.2" x14ac:dyDescent="0.3">
      <c r="A472" s="31" t="s">
        <v>48</v>
      </c>
      <c r="B472" s="69" t="s">
        <v>292</v>
      </c>
      <c r="C472" s="31" t="s">
        <v>38</v>
      </c>
      <c r="D472" s="31">
        <v>1</v>
      </c>
      <c r="E472" s="140"/>
      <c r="F472" s="131">
        <f>D472*E472</f>
        <v>0</v>
      </c>
    </row>
    <row r="473" spans="1:6" x14ac:dyDescent="0.3">
      <c r="A473" s="102"/>
      <c r="B473" s="126"/>
      <c r="C473" s="31"/>
      <c r="D473" s="31"/>
      <c r="E473" s="125"/>
      <c r="F473" s="125"/>
    </row>
    <row r="474" spans="1:6" x14ac:dyDescent="0.3">
      <c r="A474" s="102"/>
      <c r="B474" s="130" t="s">
        <v>293</v>
      </c>
      <c r="C474" s="31"/>
      <c r="D474" s="31"/>
      <c r="E474" s="125"/>
      <c r="F474" s="125"/>
    </row>
    <row r="475" spans="1:6" x14ac:dyDescent="0.3">
      <c r="A475" s="102"/>
      <c r="B475" s="126"/>
      <c r="C475" s="31"/>
      <c r="D475" s="31"/>
      <c r="E475" s="125"/>
      <c r="F475" s="133"/>
    </row>
    <row r="476" spans="1:6" ht="69" x14ac:dyDescent="0.3">
      <c r="A476" s="31" t="s">
        <v>50</v>
      </c>
      <c r="B476" s="69" t="s">
        <v>294</v>
      </c>
      <c r="C476" s="31" t="s">
        <v>65</v>
      </c>
      <c r="D476" s="31">
        <v>11</v>
      </c>
      <c r="E476" s="140"/>
      <c r="F476" s="131">
        <f>D476*E476</f>
        <v>0</v>
      </c>
    </row>
    <row r="477" spans="1:6" x14ac:dyDescent="0.3">
      <c r="A477" s="102"/>
      <c r="B477" s="126"/>
      <c r="C477" s="31"/>
      <c r="D477" s="31"/>
      <c r="E477" s="125"/>
      <c r="F477" s="125"/>
    </row>
    <row r="478" spans="1:6" x14ac:dyDescent="0.3">
      <c r="A478" s="102"/>
      <c r="B478" s="130" t="s">
        <v>297</v>
      </c>
      <c r="C478" s="124"/>
      <c r="D478" s="31"/>
      <c r="E478" s="125"/>
      <c r="F478" s="125"/>
    </row>
    <row r="479" spans="1:6" x14ac:dyDescent="0.3">
      <c r="A479" s="102"/>
      <c r="B479" s="126"/>
      <c r="C479" s="31"/>
      <c r="D479" s="31"/>
      <c r="E479" s="125"/>
      <c r="F479" s="125"/>
    </row>
    <row r="480" spans="1:6" ht="55.2" x14ac:dyDescent="0.3">
      <c r="A480" s="31" t="s">
        <v>51</v>
      </c>
      <c r="B480" s="69" t="s">
        <v>298</v>
      </c>
      <c r="C480" s="31" t="s">
        <v>66</v>
      </c>
      <c r="D480" s="31">
        <v>6</v>
      </c>
      <c r="E480" s="140"/>
      <c r="F480" s="131">
        <f>D480*E480</f>
        <v>0</v>
      </c>
    </row>
    <row r="481" spans="1:6" s="50" customFormat="1" x14ac:dyDescent="0.25">
      <c r="A481" s="102"/>
      <c r="B481" s="126"/>
      <c r="C481" s="31"/>
      <c r="D481" s="200"/>
      <c r="E481" s="125"/>
      <c r="F481" s="125"/>
    </row>
    <row r="482" spans="1:6" x14ac:dyDescent="0.3">
      <c r="A482" s="102"/>
      <c r="B482" s="130" t="s">
        <v>299</v>
      </c>
      <c r="C482" s="31"/>
      <c r="D482" s="31"/>
      <c r="E482" s="125"/>
      <c r="F482" s="125"/>
    </row>
    <row r="483" spans="1:6" x14ac:dyDescent="0.3">
      <c r="A483" s="102"/>
      <c r="B483" s="126"/>
      <c r="C483" s="31"/>
      <c r="D483" s="31"/>
      <c r="E483" s="125"/>
      <c r="F483" s="125"/>
    </row>
    <row r="484" spans="1:6" ht="69" x14ac:dyDescent="0.3">
      <c r="A484" s="31" t="s">
        <v>55</v>
      </c>
      <c r="B484" s="69" t="s">
        <v>300</v>
      </c>
      <c r="C484" s="31" t="s">
        <v>65</v>
      </c>
      <c r="D484" s="31">
        <v>12</v>
      </c>
      <c r="E484" s="140"/>
      <c r="F484" s="131">
        <f>D484*E484</f>
        <v>0</v>
      </c>
    </row>
    <row r="485" spans="1:6" x14ac:dyDescent="0.3">
      <c r="A485" s="102"/>
      <c r="B485" s="135"/>
      <c r="C485" s="31"/>
      <c r="D485" s="31"/>
      <c r="E485" s="125"/>
      <c r="F485" s="125"/>
    </row>
    <row r="486" spans="1:6" x14ac:dyDescent="0.3">
      <c r="A486" s="102"/>
      <c r="B486" s="136" t="s">
        <v>301</v>
      </c>
      <c r="C486" s="31"/>
      <c r="D486" s="31"/>
      <c r="E486" s="125"/>
      <c r="F486" s="125"/>
    </row>
    <row r="487" spans="1:6" x14ac:dyDescent="0.3">
      <c r="A487" s="102"/>
      <c r="B487" s="135"/>
      <c r="C487" s="31"/>
      <c r="D487" s="31"/>
      <c r="E487" s="125"/>
      <c r="F487" s="125"/>
    </row>
    <row r="488" spans="1:6" x14ac:dyDescent="0.3">
      <c r="A488" s="102"/>
      <c r="B488" s="130" t="s">
        <v>302</v>
      </c>
      <c r="C488" s="31"/>
      <c r="D488" s="200"/>
      <c r="E488" s="125"/>
      <c r="F488" s="125"/>
    </row>
    <row r="489" spans="1:6" x14ac:dyDescent="0.3">
      <c r="A489" s="102"/>
      <c r="B489" s="132"/>
      <c r="C489" s="31"/>
      <c r="D489" s="200"/>
      <c r="E489" s="125"/>
      <c r="F489" s="133"/>
    </row>
    <row r="490" spans="1:6" x14ac:dyDescent="0.3">
      <c r="A490" s="102" t="s">
        <v>70</v>
      </c>
      <c r="B490" s="126" t="s">
        <v>303</v>
      </c>
      <c r="C490" s="31" t="s">
        <v>65</v>
      </c>
      <c r="D490" s="200">
        <v>18</v>
      </c>
      <c r="E490" s="140"/>
      <c r="F490" s="131">
        <f>D490*E490</f>
        <v>0</v>
      </c>
    </row>
    <row r="491" spans="1:6" x14ac:dyDescent="0.3">
      <c r="A491" s="102"/>
      <c r="B491" s="135"/>
      <c r="C491" s="31"/>
      <c r="D491" s="31"/>
      <c r="E491" s="125"/>
      <c r="F491" s="125"/>
    </row>
    <row r="492" spans="1:6" x14ac:dyDescent="0.3">
      <c r="A492" s="102"/>
      <c r="B492" s="130" t="s">
        <v>304</v>
      </c>
      <c r="C492" s="31"/>
      <c r="D492" s="200"/>
      <c r="E492" s="125"/>
      <c r="F492" s="125"/>
    </row>
    <row r="493" spans="1:6" x14ac:dyDescent="0.3">
      <c r="A493" s="102"/>
      <c r="B493" s="132"/>
      <c r="C493" s="31"/>
      <c r="D493" s="200"/>
      <c r="E493" s="125"/>
      <c r="F493" s="133"/>
    </row>
    <row r="494" spans="1:6" x14ac:dyDescent="0.3">
      <c r="A494" s="102" t="s">
        <v>60</v>
      </c>
      <c r="B494" s="135" t="s">
        <v>305</v>
      </c>
      <c r="C494" s="31" t="s">
        <v>66</v>
      </c>
      <c r="D494" s="31">
        <v>2</v>
      </c>
      <c r="E494" s="125"/>
      <c r="F494" s="131">
        <f>D494*E494</f>
        <v>0</v>
      </c>
    </row>
    <row r="495" spans="1:6" x14ac:dyDescent="0.3">
      <c r="A495" s="102"/>
      <c r="B495" s="135"/>
      <c r="C495" s="31"/>
      <c r="D495" s="31"/>
      <c r="E495" s="125"/>
      <c r="F495" s="125"/>
    </row>
    <row r="496" spans="1:6" ht="28.2" x14ac:dyDescent="0.3">
      <c r="A496" s="102"/>
      <c r="B496" s="175" t="s">
        <v>306</v>
      </c>
      <c r="C496" s="31"/>
      <c r="D496" s="31"/>
      <c r="E496" s="125"/>
      <c r="F496" s="125"/>
    </row>
    <row r="497" spans="1:6" x14ac:dyDescent="0.3">
      <c r="A497" s="102"/>
      <c r="B497" s="135"/>
      <c r="C497" s="31"/>
      <c r="D497" s="31"/>
      <c r="E497" s="125"/>
      <c r="F497" s="125"/>
    </row>
    <row r="498" spans="1:6" ht="27.6" x14ac:dyDescent="0.3">
      <c r="A498" s="31" t="s">
        <v>90</v>
      </c>
      <c r="B498" s="69" t="s">
        <v>307</v>
      </c>
      <c r="C498" s="31" t="s">
        <v>66</v>
      </c>
      <c r="D498" s="31">
        <v>1</v>
      </c>
      <c r="E498" s="140"/>
      <c r="F498" s="131">
        <f>D498*E498</f>
        <v>0</v>
      </c>
    </row>
    <row r="499" spans="1:6" x14ac:dyDescent="0.3">
      <c r="A499" s="102"/>
      <c r="B499" s="126"/>
      <c r="C499" s="31"/>
      <c r="D499" s="31"/>
      <c r="E499" s="125"/>
      <c r="F499" s="125"/>
    </row>
    <row r="500" spans="1:6" x14ac:dyDescent="0.3">
      <c r="A500" s="102"/>
      <c r="B500" s="130" t="s">
        <v>308</v>
      </c>
      <c r="C500" s="31"/>
      <c r="D500" s="31"/>
      <c r="E500" s="125"/>
      <c r="F500" s="125"/>
    </row>
    <row r="501" spans="1:6" x14ac:dyDescent="0.3">
      <c r="A501" s="102"/>
      <c r="B501" s="126"/>
      <c r="C501" s="31"/>
      <c r="D501" s="31"/>
      <c r="E501" s="125"/>
      <c r="F501" s="125"/>
    </row>
    <row r="502" spans="1:6" ht="42" x14ac:dyDescent="0.3">
      <c r="A502" s="102"/>
      <c r="B502" s="35" t="s">
        <v>309</v>
      </c>
      <c r="C502" s="124"/>
      <c r="D502" s="31"/>
      <c r="E502" s="125"/>
      <c r="F502" s="125"/>
    </row>
    <row r="503" spans="1:6" x14ac:dyDescent="0.3">
      <c r="A503" s="102"/>
      <c r="B503" s="132"/>
      <c r="C503" s="31"/>
      <c r="D503" s="31"/>
      <c r="E503" s="125"/>
      <c r="F503" s="125"/>
    </row>
    <row r="504" spans="1:6" ht="55.2" x14ac:dyDescent="0.3">
      <c r="A504" s="31" t="s">
        <v>93</v>
      </c>
      <c r="B504" s="69" t="s">
        <v>310</v>
      </c>
      <c r="C504" s="31" t="s">
        <v>65</v>
      </c>
      <c r="D504" s="31">
        <v>12</v>
      </c>
      <c r="E504" s="140"/>
      <c r="F504" s="131">
        <f>D504*E504</f>
        <v>0</v>
      </c>
    </row>
    <row r="505" spans="1:6" x14ac:dyDescent="0.3">
      <c r="A505" s="31"/>
      <c r="B505" s="69"/>
      <c r="C505" s="31"/>
      <c r="D505" s="31"/>
      <c r="E505" s="140"/>
      <c r="F505" s="131"/>
    </row>
    <row r="506" spans="1:6" x14ac:dyDescent="0.3">
      <c r="A506" s="102"/>
      <c r="B506" s="130" t="s">
        <v>124</v>
      </c>
      <c r="C506" s="124"/>
      <c r="D506" s="31"/>
      <c r="E506" s="125"/>
      <c r="F506" s="125"/>
    </row>
    <row r="507" spans="1:6" s="50" customFormat="1" x14ac:dyDescent="0.25">
      <c r="A507" s="102"/>
      <c r="B507" s="126"/>
      <c r="C507" s="124"/>
      <c r="D507" s="31"/>
      <c r="E507" s="125"/>
      <c r="F507" s="125"/>
    </row>
    <row r="508" spans="1:6" x14ac:dyDescent="0.3">
      <c r="A508" s="102" t="s">
        <v>95</v>
      </c>
      <c r="B508" s="126" t="s">
        <v>311</v>
      </c>
      <c r="C508" s="31" t="s">
        <v>52</v>
      </c>
      <c r="D508" s="31">
        <v>16</v>
      </c>
      <c r="E508" s="125"/>
      <c r="F508" s="131">
        <f>D508*E508</f>
        <v>0</v>
      </c>
    </row>
    <row r="509" spans="1:6" x14ac:dyDescent="0.3">
      <c r="A509" s="102"/>
      <c r="B509" s="126"/>
      <c r="C509" s="124"/>
      <c r="D509" s="31"/>
      <c r="E509" s="125"/>
      <c r="F509" s="125"/>
    </row>
    <row r="510" spans="1:6" x14ac:dyDescent="0.3">
      <c r="A510" s="102"/>
      <c r="B510" s="177" t="s">
        <v>312</v>
      </c>
      <c r="C510" s="31"/>
      <c r="D510" s="31"/>
      <c r="E510" s="125"/>
      <c r="F510" s="125"/>
    </row>
    <row r="511" spans="1:6" x14ac:dyDescent="0.3">
      <c r="A511" s="102"/>
      <c r="B511" s="126"/>
      <c r="C511" s="31"/>
      <c r="D511" s="31"/>
      <c r="E511" s="125"/>
      <c r="F511" s="125"/>
    </row>
    <row r="512" spans="1:6" ht="42" x14ac:dyDescent="0.3">
      <c r="A512" s="102"/>
      <c r="B512" s="35" t="s">
        <v>133</v>
      </c>
      <c r="C512" s="31"/>
      <c r="D512" s="31"/>
      <c r="E512" s="125"/>
      <c r="F512" s="125"/>
    </row>
    <row r="513" spans="1:6" x14ac:dyDescent="0.3">
      <c r="A513" s="102"/>
      <c r="B513" s="132"/>
      <c r="C513" s="31"/>
      <c r="D513" s="31"/>
      <c r="E513" s="125"/>
      <c r="F513" s="125"/>
    </row>
    <row r="514" spans="1:6" x14ac:dyDescent="0.3">
      <c r="A514" s="102" t="s">
        <v>96</v>
      </c>
      <c r="B514" s="126" t="s">
        <v>313</v>
      </c>
      <c r="C514" s="31" t="s">
        <v>65</v>
      </c>
      <c r="D514" s="31">
        <v>14</v>
      </c>
      <c r="E514" s="125"/>
      <c r="F514" s="131">
        <f>D514*E514</f>
        <v>0</v>
      </c>
    </row>
    <row r="515" spans="1:6" x14ac:dyDescent="0.3">
      <c r="A515" s="102"/>
      <c r="B515" s="126"/>
      <c r="C515" s="124"/>
      <c r="D515" s="31"/>
      <c r="E515" s="125"/>
      <c r="F515" s="125"/>
    </row>
    <row r="516" spans="1:6" x14ac:dyDescent="0.3">
      <c r="A516" s="102"/>
      <c r="B516" s="130" t="s">
        <v>136</v>
      </c>
      <c r="C516" s="31"/>
      <c r="D516" s="31"/>
      <c r="E516" s="125"/>
      <c r="F516" s="125"/>
    </row>
    <row r="517" spans="1:6" x14ac:dyDescent="0.3">
      <c r="A517" s="102"/>
      <c r="B517" s="126"/>
      <c r="C517" s="124"/>
      <c r="D517" s="31"/>
      <c r="E517" s="125"/>
      <c r="F517" s="125"/>
    </row>
    <row r="518" spans="1:6" ht="41.4" x14ac:dyDescent="0.3">
      <c r="A518" s="31" t="s">
        <v>100</v>
      </c>
      <c r="B518" s="69" t="s">
        <v>314</v>
      </c>
      <c r="C518" s="31" t="s">
        <v>52</v>
      </c>
      <c r="D518" s="31">
        <v>18</v>
      </c>
      <c r="E518" s="140"/>
      <c r="F518" s="131">
        <f>D518*E518</f>
        <v>0</v>
      </c>
    </row>
    <row r="519" spans="1:6" x14ac:dyDescent="0.3">
      <c r="A519" s="102"/>
      <c r="B519" s="126"/>
      <c r="C519" s="31"/>
      <c r="D519" s="31"/>
      <c r="E519" s="125"/>
      <c r="F519" s="125"/>
    </row>
    <row r="520" spans="1:6" x14ac:dyDescent="0.3">
      <c r="A520" s="102"/>
      <c r="B520" s="130" t="s">
        <v>138</v>
      </c>
      <c r="C520" s="31"/>
      <c r="D520" s="31"/>
      <c r="E520" s="125"/>
      <c r="F520" s="125"/>
    </row>
    <row r="521" spans="1:6" x14ac:dyDescent="0.3">
      <c r="A521" s="102"/>
      <c r="B521" s="126"/>
      <c r="C521" s="31"/>
      <c r="D521" s="31"/>
      <c r="E521" s="125"/>
      <c r="F521" s="125"/>
    </row>
    <row r="522" spans="1:6" x14ac:dyDescent="0.3">
      <c r="A522" s="102" t="s">
        <v>103</v>
      </c>
      <c r="B522" s="126" t="s">
        <v>139</v>
      </c>
      <c r="C522" s="31" t="s">
        <v>65</v>
      </c>
      <c r="D522" s="31">
        <v>12</v>
      </c>
      <c r="E522" s="125"/>
      <c r="F522" s="131">
        <f>D522*E522</f>
        <v>0</v>
      </c>
    </row>
    <row r="523" spans="1:6" x14ac:dyDescent="0.3">
      <c r="A523" s="102"/>
      <c r="B523" s="126"/>
      <c r="C523" s="31"/>
      <c r="D523" s="31"/>
      <c r="E523" s="125"/>
      <c r="F523" s="133"/>
    </row>
    <row r="524" spans="1:6" ht="27.6" x14ac:dyDescent="0.3">
      <c r="A524" s="102"/>
      <c r="B524" s="155" t="s">
        <v>140</v>
      </c>
      <c r="C524" s="138"/>
      <c r="D524" s="138"/>
      <c r="E524" s="139"/>
      <c r="F524" s="139"/>
    </row>
    <row r="525" spans="1:6" x14ac:dyDescent="0.3">
      <c r="A525" s="102"/>
      <c r="B525" s="154"/>
      <c r="C525" s="138"/>
      <c r="D525" s="138"/>
      <c r="E525" s="139"/>
      <c r="F525" s="139"/>
    </row>
    <row r="526" spans="1:6" x14ac:dyDescent="0.3">
      <c r="A526" s="102" t="s">
        <v>105</v>
      </c>
      <c r="B526" s="154" t="s">
        <v>141</v>
      </c>
      <c r="C526" s="138" t="s">
        <v>65</v>
      </c>
      <c r="D526" s="138">
        <f>D522</f>
        <v>12</v>
      </c>
      <c r="E526" s="139"/>
      <c r="F526" s="131">
        <f>D526*E526</f>
        <v>0</v>
      </c>
    </row>
    <row r="527" spans="1:6" x14ac:dyDescent="0.3">
      <c r="A527" s="178"/>
      <c r="B527" s="179"/>
      <c r="C527" s="105"/>
      <c r="D527" s="105"/>
      <c r="E527" s="180"/>
      <c r="F527" s="162"/>
    </row>
    <row r="528" spans="1:6" ht="27.6" x14ac:dyDescent="0.3">
      <c r="A528" s="142"/>
      <c r="B528" s="143" t="s">
        <v>163</v>
      </c>
      <c r="C528" s="144"/>
      <c r="D528" s="144"/>
      <c r="E528" s="145" t="s">
        <v>43</v>
      </c>
      <c r="F528" s="146">
        <f>SUM(F453:F526)</f>
        <v>0</v>
      </c>
    </row>
    <row r="529" spans="1:6" x14ac:dyDescent="0.3">
      <c r="A529" s="157"/>
      <c r="B529" s="158"/>
      <c r="C529" s="94"/>
      <c r="D529" s="94"/>
      <c r="E529" s="159"/>
      <c r="F529" s="160"/>
    </row>
    <row r="530" spans="1:6" x14ac:dyDescent="0.3">
      <c r="A530" s="31"/>
      <c r="B530" s="147" t="s">
        <v>146</v>
      </c>
      <c r="C530" s="148"/>
      <c r="D530" s="201"/>
      <c r="E530" s="76"/>
      <c r="F530" s="148"/>
    </row>
    <row r="531" spans="1:6" x14ac:dyDescent="0.3">
      <c r="A531" s="31"/>
      <c r="B531" s="118"/>
      <c r="C531" s="148"/>
      <c r="D531" s="201"/>
      <c r="E531" s="76"/>
      <c r="F531" s="148"/>
    </row>
    <row r="532" spans="1:6" x14ac:dyDescent="0.3">
      <c r="A532" s="71">
        <v>2</v>
      </c>
      <c r="B532" s="149" t="s">
        <v>57</v>
      </c>
      <c r="C532" s="148"/>
      <c r="D532" s="201"/>
      <c r="E532" s="76"/>
      <c r="F532" s="148"/>
    </row>
    <row r="533" spans="1:6" x14ac:dyDescent="0.3">
      <c r="A533" s="102"/>
      <c r="B533" s="126"/>
      <c r="C533" s="31"/>
      <c r="D533" s="31"/>
      <c r="E533" s="125"/>
      <c r="F533" s="125"/>
    </row>
    <row r="534" spans="1:6" ht="28.2" x14ac:dyDescent="0.3">
      <c r="A534" s="102"/>
      <c r="B534" s="35" t="s">
        <v>315</v>
      </c>
      <c r="C534" s="31"/>
      <c r="D534" s="31"/>
      <c r="E534" s="125"/>
      <c r="F534" s="125"/>
    </row>
    <row r="535" spans="1:6" x14ac:dyDescent="0.3">
      <c r="A535" s="102"/>
      <c r="B535" s="126"/>
      <c r="C535" s="31"/>
      <c r="D535" s="31"/>
      <c r="E535" s="125"/>
      <c r="F535" s="125"/>
    </row>
    <row r="536" spans="1:6" x14ac:dyDescent="0.3">
      <c r="A536" s="102" t="s">
        <v>36</v>
      </c>
      <c r="B536" s="126" t="s">
        <v>316</v>
      </c>
      <c r="C536" s="31" t="s">
        <v>66</v>
      </c>
      <c r="D536" s="31">
        <v>1</v>
      </c>
      <c r="E536" s="125"/>
      <c r="F536" s="131">
        <f>D536*E536</f>
        <v>0</v>
      </c>
    </row>
    <row r="537" spans="1:6" x14ac:dyDescent="0.3">
      <c r="A537" s="102"/>
      <c r="B537" s="126"/>
      <c r="C537" s="31"/>
      <c r="D537" s="31"/>
      <c r="E537" s="125"/>
      <c r="F537" s="125"/>
    </row>
    <row r="538" spans="1:6" x14ac:dyDescent="0.3">
      <c r="A538" s="102"/>
      <c r="B538" s="130" t="s">
        <v>67</v>
      </c>
      <c r="C538" s="31"/>
      <c r="D538" s="31"/>
      <c r="E538" s="125"/>
      <c r="F538" s="125"/>
    </row>
    <row r="539" spans="1:6" x14ac:dyDescent="0.3">
      <c r="A539" s="102"/>
      <c r="B539" s="126"/>
      <c r="C539" s="31"/>
      <c r="D539" s="31"/>
      <c r="E539" s="125"/>
      <c r="F539" s="125"/>
    </row>
    <row r="540" spans="1:6" ht="42" x14ac:dyDescent="0.3">
      <c r="A540" s="102"/>
      <c r="B540" s="35" t="s">
        <v>317</v>
      </c>
      <c r="C540" s="31"/>
      <c r="D540" s="31"/>
      <c r="E540" s="125"/>
      <c r="F540" s="125"/>
    </row>
    <row r="541" spans="1:6" x14ac:dyDescent="0.3">
      <c r="A541" s="102"/>
      <c r="B541" s="126"/>
      <c r="C541" s="31"/>
      <c r="D541" s="31"/>
      <c r="E541" s="125"/>
      <c r="F541" s="125"/>
    </row>
    <row r="542" spans="1:6" x14ac:dyDescent="0.3">
      <c r="A542" s="102" t="s">
        <v>39</v>
      </c>
      <c r="B542" s="126" t="s">
        <v>318</v>
      </c>
      <c r="C542" s="31" t="s">
        <v>142</v>
      </c>
      <c r="D542" s="31">
        <v>98</v>
      </c>
      <c r="E542" s="125"/>
      <c r="F542" s="131">
        <f>D542*E542</f>
        <v>0</v>
      </c>
    </row>
    <row r="543" spans="1:6" x14ac:dyDescent="0.3">
      <c r="A543" s="102"/>
      <c r="B543" s="126"/>
      <c r="C543" s="31"/>
      <c r="D543" s="31"/>
      <c r="E543" s="125"/>
      <c r="F543" s="125"/>
    </row>
    <row r="544" spans="1:6" x14ac:dyDescent="0.3">
      <c r="A544" s="102"/>
      <c r="B544" s="130" t="s">
        <v>124</v>
      </c>
      <c r="C544" s="124"/>
      <c r="D544" s="31"/>
      <c r="E544" s="125"/>
      <c r="F544" s="125"/>
    </row>
    <row r="545" spans="1:6" x14ac:dyDescent="0.3">
      <c r="A545" s="102"/>
      <c r="B545" s="126"/>
      <c r="C545" s="31"/>
      <c r="D545" s="31"/>
      <c r="E545" s="125"/>
      <c r="F545" s="125"/>
    </row>
    <row r="546" spans="1:6" x14ac:dyDescent="0.3">
      <c r="A546" s="102" t="s">
        <v>40</v>
      </c>
      <c r="B546" s="126" t="s">
        <v>319</v>
      </c>
      <c r="C546" s="31" t="s">
        <v>52</v>
      </c>
      <c r="D546" s="31">
        <v>24</v>
      </c>
      <c r="E546" s="125"/>
      <c r="F546" s="131">
        <f>D546*E546</f>
        <v>0</v>
      </c>
    </row>
    <row r="547" spans="1:6" x14ac:dyDescent="0.3">
      <c r="A547" s="102"/>
      <c r="B547" s="126"/>
      <c r="C547" s="31"/>
      <c r="D547" s="31"/>
      <c r="E547" s="125"/>
      <c r="F547" s="125"/>
    </row>
    <row r="548" spans="1:6" x14ac:dyDescent="0.3">
      <c r="A548" s="102"/>
      <c r="B548" s="132" t="s">
        <v>320</v>
      </c>
      <c r="C548" s="31"/>
      <c r="D548" s="31"/>
      <c r="E548" s="125"/>
      <c r="F548" s="125"/>
    </row>
    <row r="549" spans="1:6" x14ac:dyDescent="0.3">
      <c r="A549" s="102"/>
      <c r="B549" s="126"/>
      <c r="C549" s="31"/>
      <c r="D549" s="31"/>
      <c r="E549" s="125"/>
      <c r="F549" s="125"/>
    </row>
    <row r="550" spans="1:6" x14ac:dyDescent="0.3">
      <c r="A550" s="102" t="s">
        <v>44</v>
      </c>
      <c r="B550" s="126" t="s">
        <v>321</v>
      </c>
      <c r="C550" s="31" t="s">
        <v>52</v>
      </c>
      <c r="D550" s="31">
        <v>4</v>
      </c>
      <c r="E550" s="125"/>
      <c r="F550" s="131">
        <f>D550*E550</f>
        <v>0</v>
      </c>
    </row>
    <row r="551" spans="1:6" x14ac:dyDescent="0.3">
      <c r="A551" s="102"/>
      <c r="B551" s="126"/>
      <c r="C551" s="31"/>
      <c r="D551" s="31"/>
      <c r="E551" s="125"/>
      <c r="F551" s="125"/>
    </row>
    <row r="552" spans="1:6" x14ac:dyDescent="0.3">
      <c r="A552" s="178"/>
      <c r="B552" s="179"/>
      <c r="C552" s="105"/>
      <c r="D552" s="202"/>
      <c r="E552" s="180"/>
      <c r="F552" s="162"/>
    </row>
    <row r="553" spans="1:6" ht="27.6" x14ac:dyDescent="0.3">
      <c r="A553" s="142"/>
      <c r="B553" s="143" t="s">
        <v>162</v>
      </c>
      <c r="C553" s="144"/>
      <c r="D553" s="203"/>
      <c r="E553" s="145" t="s">
        <v>43</v>
      </c>
      <c r="F553" s="146">
        <f>SUM(F534:F551)</f>
        <v>0</v>
      </c>
    </row>
    <row r="554" spans="1:6" x14ac:dyDescent="0.3">
      <c r="A554" s="157"/>
      <c r="B554" s="158"/>
      <c r="C554" s="94"/>
      <c r="D554" s="204"/>
      <c r="E554" s="159"/>
      <c r="F554" s="160"/>
    </row>
    <row r="555" spans="1:6" x14ac:dyDescent="0.3">
      <c r="A555" s="71">
        <v>3</v>
      </c>
      <c r="B555" s="149" t="s">
        <v>132</v>
      </c>
      <c r="C555" s="148"/>
      <c r="D555" s="201"/>
      <c r="E555" s="76"/>
      <c r="F555" s="148"/>
    </row>
    <row r="556" spans="1:6" x14ac:dyDescent="0.3">
      <c r="A556" s="31"/>
      <c r="B556" s="118"/>
      <c r="C556" s="148"/>
      <c r="D556" s="201"/>
      <c r="E556" s="76"/>
      <c r="F556" s="148"/>
    </row>
    <row r="557" spans="1:6" ht="28.2" x14ac:dyDescent="0.3">
      <c r="A557" s="102"/>
      <c r="B557" s="35" t="s">
        <v>322</v>
      </c>
      <c r="C557" s="31"/>
      <c r="D557" s="31"/>
      <c r="E557" s="125"/>
      <c r="F557" s="125"/>
    </row>
    <row r="558" spans="1:6" x14ac:dyDescent="0.3">
      <c r="A558" s="102"/>
      <c r="B558" s="132"/>
      <c r="C558" s="31"/>
      <c r="D558" s="31"/>
      <c r="E558" s="125"/>
      <c r="F558" s="125"/>
    </row>
    <row r="559" spans="1:6" x14ac:dyDescent="0.3">
      <c r="A559" s="102" t="s">
        <v>36</v>
      </c>
      <c r="B559" s="126" t="s">
        <v>323</v>
      </c>
      <c r="C559" s="31" t="s">
        <v>65</v>
      </c>
      <c r="D559" s="31">
        <v>6</v>
      </c>
      <c r="E559" s="125"/>
      <c r="F559" s="131">
        <f>D559*E559</f>
        <v>0</v>
      </c>
    </row>
    <row r="560" spans="1:6" x14ac:dyDescent="0.3">
      <c r="A560" s="102"/>
      <c r="B560" s="126"/>
      <c r="C560" s="31"/>
      <c r="D560" s="31"/>
      <c r="E560" s="125"/>
      <c r="F560" s="125"/>
    </row>
    <row r="561" spans="1:6" x14ac:dyDescent="0.3">
      <c r="A561" s="102" t="s">
        <v>39</v>
      </c>
      <c r="B561" s="126" t="s">
        <v>324</v>
      </c>
      <c r="C561" s="31" t="s">
        <v>65</v>
      </c>
      <c r="D561" s="31">
        <v>28</v>
      </c>
      <c r="E561" s="125"/>
      <c r="F561" s="131">
        <f>D561*E561</f>
        <v>0</v>
      </c>
    </row>
    <row r="562" spans="1:6" x14ac:dyDescent="0.3">
      <c r="A562" s="102"/>
      <c r="B562" s="126"/>
      <c r="C562" s="31"/>
      <c r="D562" s="31"/>
      <c r="E562" s="125"/>
      <c r="F562" s="125"/>
    </row>
    <row r="563" spans="1:6" x14ac:dyDescent="0.3">
      <c r="A563" s="102"/>
      <c r="B563" s="35" t="s">
        <v>325</v>
      </c>
      <c r="C563" s="124"/>
      <c r="D563" s="31"/>
      <c r="E563" s="125"/>
      <c r="F563" s="125"/>
    </row>
    <row r="564" spans="1:6" x14ac:dyDescent="0.3">
      <c r="A564" s="102"/>
      <c r="B564" s="126"/>
      <c r="C564" s="124"/>
      <c r="D564" s="31"/>
      <c r="E564" s="125"/>
      <c r="F564" s="133"/>
    </row>
    <row r="565" spans="1:6" ht="55.2" x14ac:dyDescent="0.3">
      <c r="A565" s="31" t="s">
        <v>40</v>
      </c>
      <c r="B565" s="69" t="s">
        <v>326</v>
      </c>
      <c r="C565" s="31" t="s">
        <v>52</v>
      </c>
      <c r="D565" s="31">
        <v>3</v>
      </c>
      <c r="E565" s="140"/>
      <c r="F565" s="131">
        <f>D565*E565</f>
        <v>0</v>
      </c>
    </row>
    <row r="566" spans="1:6" x14ac:dyDescent="0.3">
      <c r="A566" s="102"/>
      <c r="B566" s="126"/>
      <c r="C566" s="124"/>
      <c r="D566" s="31"/>
      <c r="E566" s="125"/>
      <c r="F566" s="133"/>
    </row>
    <row r="567" spans="1:6" x14ac:dyDescent="0.3">
      <c r="A567" s="102" t="s">
        <v>44</v>
      </c>
      <c r="B567" s="126" t="s">
        <v>327</v>
      </c>
      <c r="C567" s="31" t="s">
        <v>52</v>
      </c>
      <c r="D567" s="31">
        <v>16</v>
      </c>
      <c r="E567" s="125"/>
      <c r="F567" s="131">
        <f>D567*E567</f>
        <v>0</v>
      </c>
    </row>
    <row r="568" spans="1:6" x14ac:dyDescent="0.3">
      <c r="A568" s="102"/>
      <c r="B568" s="126"/>
      <c r="C568" s="31"/>
      <c r="D568" s="31"/>
      <c r="E568" s="125"/>
      <c r="F568" s="125"/>
    </row>
    <row r="569" spans="1:6" x14ac:dyDescent="0.3">
      <c r="A569" s="102"/>
      <c r="B569" s="130" t="s">
        <v>136</v>
      </c>
      <c r="C569" s="31"/>
      <c r="D569" s="31"/>
      <c r="E569" s="125"/>
      <c r="F569" s="125"/>
    </row>
    <row r="570" spans="1:6" x14ac:dyDescent="0.3">
      <c r="A570" s="102"/>
      <c r="B570" s="126"/>
      <c r="C570" s="31"/>
      <c r="D570" s="31"/>
      <c r="E570" s="125"/>
      <c r="F570" s="125"/>
    </row>
    <row r="571" spans="1:6" ht="27.6" x14ac:dyDescent="0.3">
      <c r="A571" s="31" t="s">
        <v>46</v>
      </c>
      <c r="B571" s="69" t="s">
        <v>328</v>
      </c>
      <c r="C571" s="31" t="s">
        <v>52</v>
      </c>
      <c r="D571" s="31">
        <v>9</v>
      </c>
      <c r="E571" s="140"/>
      <c r="F571" s="131">
        <f>D571*E571</f>
        <v>0</v>
      </c>
    </row>
    <row r="572" spans="1:6" x14ac:dyDescent="0.3">
      <c r="A572" s="102"/>
      <c r="B572" s="126"/>
      <c r="C572" s="31"/>
      <c r="D572" s="31"/>
      <c r="E572" s="125"/>
      <c r="F572" s="125"/>
    </row>
    <row r="573" spans="1:6" x14ac:dyDescent="0.3">
      <c r="A573" s="102" t="s">
        <v>48</v>
      </c>
      <c r="B573" s="126" t="s">
        <v>329</v>
      </c>
      <c r="C573" s="31" t="s">
        <v>52</v>
      </c>
      <c r="D573" s="31">
        <v>38</v>
      </c>
      <c r="E573" s="125"/>
      <c r="F573" s="131">
        <f>D573*E573</f>
        <v>0</v>
      </c>
    </row>
    <row r="574" spans="1:6" x14ac:dyDescent="0.3">
      <c r="A574" s="102"/>
      <c r="B574" s="126"/>
      <c r="C574" s="31"/>
      <c r="D574" s="31"/>
      <c r="E574" s="125"/>
      <c r="F574" s="125"/>
    </row>
    <row r="575" spans="1:6" x14ac:dyDescent="0.3">
      <c r="A575" s="102"/>
      <c r="B575" s="132" t="s">
        <v>330</v>
      </c>
      <c r="C575" s="31"/>
      <c r="D575" s="31"/>
      <c r="E575" s="125"/>
      <c r="F575" s="125"/>
    </row>
    <row r="576" spans="1:6" x14ac:dyDescent="0.3">
      <c r="A576" s="102"/>
      <c r="B576" s="126"/>
      <c r="C576" s="31"/>
      <c r="D576" s="31"/>
      <c r="E576" s="125"/>
      <c r="F576" s="125"/>
    </row>
    <row r="577" spans="1:6" s="50" customFormat="1" ht="27.6" x14ac:dyDescent="0.3">
      <c r="A577" s="31" t="s">
        <v>50</v>
      </c>
      <c r="B577" s="161" t="s">
        <v>428</v>
      </c>
      <c r="C577" s="31" t="s">
        <v>201</v>
      </c>
      <c r="D577" s="31">
        <v>6</v>
      </c>
      <c r="E577" s="140"/>
      <c r="F577" s="131">
        <f>D577*E577</f>
        <v>0</v>
      </c>
    </row>
    <row r="578" spans="1:6" x14ac:dyDescent="0.3">
      <c r="A578" s="102"/>
      <c r="B578" s="126"/>
      <c r="C578" s="31"/>
      <c r="D578" s="201"/>
      <c r="E578" s="140"/>
      <c r="F578" s="141"/>
    </row>
    <row r="579" spans="1:6" x14ac:dyDescent="0.3">
      <c r="A579" s="142"/>
      <c r="B579" s="143" t="s">
        <v>161</v>
      </c>
      <c r="C579" s="144"/>
      <c r="D579" s="203"/>
      <c r="E579" s="145" t="s">
        <v>43</v>
      </c>
      <c r="F579" s="146">
        <f>SUM(F557:F577)</f>
        <v>0</v>
      </c>
    </row>
    <row r="580" spans="1:6" x14ac:dyDescent="0.3">
      <c r="A580" s="157"/>
      <c r="B580" s="158"/>
      <c r="C580" s="94"/>
      <c r="D580" s="204"/>
      <c r="E580" s="159"/>
      <c r="F580" s="160"/>
    </row>
    <row r="581" spans="1:6" x14ac:dyDescent="0.3">
      <c r="A581" s="71">
        <v>4</v>
      </c>
      <c r="B581" s="149" t="s">
        <v>166</v>
      </c>
      <c r="C581" s="148"/>
      <c r="D581" s="201"/>
      <c r="E581" s="76"/>
      <c r="F581" s="148"/>
    </row>
    <row r="582" spans="1:6" x14ac:dyDescent="0.3">
      <c r="A582" s="31"/>
      <c r="B582" s="149"/>
      <c r="C582" s="148"/>
      <c r="D582" s="201"/>
      <c r="E582" s="76"/>
      <c r="F582" s="148"/>
    </row>
    <row r="583" spans="1:6" ht="55.8" x14ac:dyDescent="0.3">
      <c r="A583" s="31"/>
      <c r="B583" s="35" t="s">
        <v>331</v>
      </c>
      <c r="C583" s="124"/>
      <c r="D583" s="31"/>
      <c r="E583" s="125"/>
      <c r="F583" s="133"/>
    </row>
    <row r="584" spans="1:6" x14ac:dyDescent="0.3">
      <c r="A584" s="31"/>
      <c r="B584" s="137"/>
      <c r="C584" s="124"/>
      <c r="D584" s="31"/>
      <c r="E584" s="125"/>
      <c r="F584" s="133"/>
    </row>
    <row r="585" spans="1:6" s="50" customFormat="1" ht="27.6" x14ac:dyDescent="0.3">
      <c r="A585" s="31" t="s">
        <v>36</v>
      </c>
      <c r="B585" s="69" t="s">
        <v>332</v>
      </c>
      <c r="C585" s="31" t="s">
        <v>65</v>
      </c>
      <c r="D585" s="200">
        <v>17</v>
      </c>
      <c r="E585" s="140"/>
      <c r="F585" s="131">
        <f>D585*E585</f>
        <v>0</v>
      </c>
    </row>
    <row r="586" spans="1:6" x14ac:dyDescent="0.3">
      <c r="A586" s="178"/>
      <c r="B586" s="179"/>
      <c r="C586" s="105"/>
      <c r="D586" s="202"/>
      <c r="E586" s="180"/>
      <c r="F586" s="162"/>
    </row>
    <row r="587" spans="1:6" x14ac:dyDescent="0.3">
      <c r="A587" s="142"/>
      <c r="B587" s="143" t="s">
        <v>333</v>
      </c>
      <c r="C587" s="144"/>
      <c r="D587" s="203"/>
      <c r="E587" s="145" t="s">
        <v>43</v>
      </c>
      <c r="F587" s="146">
        <f>SUM(F582:F585)</f>
        <v>0</v>
      </c>
    </row>
    <row r="588" spans="1:6" x14ac:dyDescent="0.3">
      <c r="A588" s="157"/>
      <c r="B588" s="158"/>
      <c r="C588" s="94"/>
      <c r="D588" s="204"/>
      <c r="E588" s="159"/>
      <c r="F588" s="160"/>
    </row>
    <row r="589" spans="1:6" x14ac:dyDescent="0.3">
      <c r="A589" s="122">
        <v>5</v>
      </c>
      <c r="B589" s="150" t="s">
        <v>334</v>
      </c>
      <c r="C589" s="31"/>
      <c r="D589" s="201"/>
      <c r="E589" s="140"/>
      <c r="F589" s="141"/>
    </row>
    <row r="590" spans="1:6" x14ac:dyDescent="0.3">
      <c r="A590" s="102"/>
      <c r="B590" s="126"/>
      <c r="C590" s="31"/>
      <c r="D590" s="201"/>
      <c r="E590" s="140"/>
      <c r="F590" s="141"/>
    </row>
    <row r="591" spans="1:6" x14ac:dyDescent="0.3">
      <c r="A591" s="71"/>
      <c r="B591" s="152" t="s">
        <v>335</v>
      </c>
      <c r="C591" s="31"/>
      <c r="D591" s="201"/>
      <c r="E591" s="140"/>
      <c r="F591" s="141"/>
    </row>
    <row r="592" spans="1:6" x14ac:dyDescent="0.3">
      <c r="A592" s="31"/>
      <c r="B592" s="153"/>
      <c r="C592" s="31"/>
      <c r="D592" s="201"/>
      <c r="E592" s="140"/>
      <c r="F592" s="141"/>
    </row>
    <row r="593" spans="1:6" ht="28.2" x14ac:dyDescent="0.3">
      <c r="A593" s="31" t="s">
        <v>36</v>
      </c>
      <c r="B593" s="153" t="s">
        <v>336</v>
      </c>
      <c r="C593" s="31" t="s">
        <v>52</v>
      </c>
      <c r="D593" s="201">
        <v>15</v>
      </c>
      <c r="E593" s="140"/>
      <c r="F593" s="131">
        <f>D593*E593</f>
        <v>0</v>
      </c>
    </row>
    <row r="594" spans="1:6" x14ac:dyDescent="0.3">
      <c r="A594" s="31"/>
      <c r="B594" s="153"/>
      <c r="C594" s="31"/>
      <c r="D594" s="201"/>
      <c r="E594" s="140"/>
      <c r="F594" s="141"/>
    </row>
    <row r="595" spans="1:6" x14ac:dyDescent="0.3">
      <c r="A595" s="31" t="s">
        <v>39</v>
      </c>
      <c r="B595" s="153" t="s">
        <v>337</v>
      </c>
      <c r="C595" s="31" t="s">
        <v>52</v>
      </c>
      <c r="D595" s="201">
        <v>15</v>
      </c>
      <c r="E595" s="140"/>
      <c r="F595" s="131">
        <f>D595*E595</f>
        <v>0</v>
      </c>
    </row>
    <row r="596" spans="1:6" x14ac:dyDescent="0.3">
      <c r="A596" s="31"/>
      <c r="B596" s="153"/>
      <c r="C596" s="31"/>
      <c r="D596" s="201"/>
      <c r="E596" s="140"/>
      <c r="F596" s="141"/>
    </row>
    <row r="597" spans="1:6" ht="27.6" x14ac:dyDescent="0.3">
      <c r="A597" s="31" t="s">
        <v>40</v>
      </c>
      <c r="B597" s="118" t="s">
        <v>338</v>
      </c>
      <c r="C597" s="31" t="s">
        <v>52</v>
      </c>
      <c r="D597" s="201">
        <v>13</v>
      </c>
      <c r="E597" s="140"/>
      <c r="F597" s="131">
        <f>D597*E597</f>
        <v>0</v>
      </c>
    </row>
    <row r="598" spans="1:6" x14ac:dyDescent="0.3">
      <c r="A598" s="31"/>
      <c r="B598" s="153"/>
      <c r="C598" s="31"/>
      <c r="D598" s="201"/>
      <c r="E598" s="140"/>
      <c r="F598" s="141"/>
    </row>
    <row r="599" spans="1:6" x14ac:dyDescent="0.3">
      <c r="A599" s="102"/>
      <c r="B599" s="130" t="s">
        <v>339</v>
      </c>
      <c r="C599" s="31"/>
      <c r="D599" s="200"/>
      <c r="E599" s="125"/>
      <c r="F599" s="133"/>
    </row>
    <row r="600" spans="1:6" x14ac:dyDescent="0.3">
      <c r="A600" s="102"/>
      <c r="B600" s="132"/>
      <c r="C600" s="31"/>
      <c r="D600" s="200"/>
      <c r="E600" s="125"/>
      <c r="F600" s="133"/>
    </row>
    <row r="601" spans="1:6" ht="27.6" x14ac:dyDescent="0.3">
      <c r="A601" s="31" t="s">
        <v>44</v>
      </c>
      <c r="B601" s="69" t="s">
        <v>340</v>
      </c>
      <c r="C601" s="31" t="s">
        <v>61</v>
      </c>
      <c r="D601" s="200">
        <v>1</v>
      </c>
      <c r="E601" s="140"/>
      <c r="F601" s="131">
        <f>D601*E601</f>
        <v>0</v>
      </c>
    </row>
    <row r="602" spans="1:6" x14ac:dyDescent="0.3">
      <c r="A602" s="102"/>
      <c r="B602" s="154"/>
      <c r="C602" s="31"/>
      <c r="D602" s="200"/>
      <c r="E602" s="125"/>
      <c r="F602" s="133"/>
    </row>
    <row r="603" spans="1:6" ht="28.2" x14ac:dyDescent="0.3">
      <c r="A603" s="102"/>
      <c r="B603" s="35" t="s">
        <v>341</v>
      </c>
      <c r="C603" s="124"/>
      <c r="D603" s="31"/>
      <c r="E603" s="125"/>
      <c r="F603" s="133"/>
    </row>
    <row r="604" spans="1:6" x14ac:dyDescent="0.3">
      <c r="A604" s="102"/>
      <c r="B604" s="132"/>
      <c r="C604" s="124"/>
      <c r="D604" s="31"/>
      <c r="E604" s="125"/>
      <c r="F604" s="133"/>
    </row>
    <row r="605" spans="1:6" ht="27.6" x14ac:dyDescent="0.3">
      <c r="A605" s="31" t="s">
        <v>46</v>
      </c>
      <c r="B605" s="69" t="s">
        <v>342</v>
      </c>
      <c r="C605" s="31" t="s">
        <v>61</v>
      </c>
      <c r="D605" s="200">
        <v>2</v>
      </c>
      <c r="E605" s="140"/>
      <c r="F605" s="131">
        <f>D605*E605</f>
        <v>0</v>
      </c>
    </row>
    <row r="606" spans="1:6" x14ac:dyDescent="0.3">
      <c r="A606" s="31"/>
      <c r="B606" s="69"/>
      <c r="C606" s="31"/>
      <c r="D606" s="200"/>
      <c r="E606" s="140"/>
      <c r="F606" s="131"/>
    </row>
    <row r="607" spans="1:6" x14ac:dyDescent="0.3">
      <c r="A607" s="102"/>
      <c r="B607" s="130" t="s">
        <v>343</v>
      </c>
      <c r="C607" s="124"/>
      <c r="D607" s="31"/>
      <c r="E607" s="125"/>
      <c r="F607" s="125"/>
    </row>
    <row r="608" spans="1:6" x14ac:dyDescent="0.3">
      <c r="A608" s="102"/>
      <c r="B608" s="126"/>
      <c r="C608" s="124"/>
      <c r="D608" s="31"/>
      <c r="E608" s="125"/>
      <c r="F608" s="133"/>
    </row>
    <row r="609" spans="1:6" ht="41.4" x14ac:dyDescent="0.3">
      <c r="A609" s="102"/>
      <c r="B609" s="155" t="s">
        <v>344</v>
      </c>
      <c r="C609" s="124"/>
      <c r="D609" s="31"/>
      <c r="E609" s="125"/>
      <c r="F609" s="133"/>
    </row>
    <row r="610" spans="1:6" x14ac:dyDescent="0.3">
      <c r="A610" s="102"/>
      <c r="B610" s="156"/>
      <c r="C610" s="124"/>
      <c r="D610" s="31"/>
      <c r="E610" s="125"/>
      <c r="F610" s="133"/>
    </row>
    <row r="611" spans="1:6" x14ac:dyDescent="0.3">
      <c r="A611" s="102" t="s">
        <v>48</v>
      </c>
      <c r="B611" s="154" t="s">
        <v>345</v>
      </c>
      <c r="C611" s="31" t="s">
        <v>61</v>
      </c>
      <c r="D611" s="31">
        <v>1</v>
      </c>
      <c r="E611" s="125"/>
      <c r="F611" s="131">
        <f>D611*E611</f>
        <v>0</v>
      </c>
    </row>
    <row r="612" spans="1:6" x14ac:dyDescent="0.3">
      <c r="A612" s="102"/>
      <c r="B612" s="126"/>
      <c r="C612" s="124"/>
      <c r="D612" s="31"/>
      <c r="E612" s="125"/>
      <c r="F612" s="133"/>
    </row>
    <row r="613" spans="1:6" x14ac:dyDescent="0.3">
      <c r="A613" s="102" t="s">
        <v>50</v>
      </c>
      <c r="B613" s="154" t="s">
        <v>346</v>
      </c>
      <c r="C613" s="31" t="s">
        <v>61</v>
      </c>
      <c r="D613" s="31">
        <v>2</v>
      </c>
      <c r="E613" s="125"/>
      <c r="F613" s="131">
        <f>D613*E613</f>
        <v>0</v>
      </c>
    </row>
    <row r="614" spans="1:6" x14ac:dyDescent="0.3">
      <c r="A614" s="102"/>
      <c r="B614" s="126"/>
      <c r="C614" s="124"/>
      <c r="D614" s="31"/>
      <c r="E614" s="125"/>
      <c r="F614" s="133"/>
    </row>
    <row r="615" spans="1:6" x14ac:dyDescent="0.3">
      <c r="A615" s="102" t="s">
        <v>51</v>
      </c>
      <c r="B615" s="126" t="s">
        <v>347</v>
      </c>
      <c r="C615" s="31" t="s">
        <v>61</v>
      </c>
      <c r="D615" s="31">
        <v>2</v>
      </c>
      <c r="E615" s="125"/>
      <c r="F615" s="131">
        <f>D615*E615</f>
        <v>0</v>
      </c>
    </row>
    <row r="616" spans="1:6" x14ac:dyDescent="0.3">
      <c r="A616" s="178"/>
      <c r="B616" s="179"/>
      <c r="C616" s="105"/>
      <c r="D616" s="202"/>
      <c r="E616" s="180"/>
      <c r="F616" s="162"/>
    </row>
    <row r="617" spans="1:6" ht="27.6" x14ac:dyDescent="0.3">
      <c r="A617" s="142"/>
      <c r="B617" s="143" t="s">
        <v>348</v>
      </c>
      <c r="C617" s="144"/>
      <c r="D617" s="203"/>
      <c r="E617" s="145" t="s">
        <v>43</v>
      </c>
      <c r="F617" s="146">
        <f>SUM(F593:F615)</f>
        <v>0</v>
      </c>
    </row>
    <row r="618" spans="1:6" x14ac:dyDescent="0.3">
      <c r="A618" s="157"/>
      <c r="B618" s="158"/>
      <c r="C618" s="94"/>
      <c r="D618" s="204"/>
      <c r="E618" s="159"/>
      <c r="F618" s="160"/>
    </row>
    <row r="619" spans="1:6" x14ac:dyDescent="0.3">
      <c r="A619" s="71">
        <v>6</v>
      </c>
      <c r="B619" s="149" t="s">
        <v>192</v>
      </c>
      <c r="C619" s="148"/>
      <c r="D619" s="31"/>
      <c r="E619" s="76"/>
      <c r="F619" s="148"/>
    </row>
    <row r="620" spans="1:6" x14ac:dyDescent="0.3">
      <c r="A620" s="31"/>
      <c r="B620" s="118"/>
      <c r="C620" s="148"/>
      <c r="D620" s="31"/>
      <c r="E620" s="76"/>
      <c r="F620" s="148"/>
    </row>
    <row r="621" spans="1:6" x14ac:dyDescent="0.3">
      <c r="A621" s="31"/>
      <c r="B621" s="161" t="s">
        <v>196</v>
      </c>
      <c r="C621" s="148"/>
      <c r="D621" s="31"/>
      <c r="E621" s="76"/>
      <c r="F621" s="148"/>
    </row>
    <row r="622" spans="1:6" x14ac:dyDescent="0.3">
      <c r="A622" s="31"/>
      <c r="B622" s="161"/>
      <c r="C622" s="148"/>
      <c r="D622" s="31"/>
      <c r="E622" s="76"/>
      <c r="F622" s="148"/>
    </row>
    <row r="623" spans="1:6" ht="42" x14ac:dyDescent="0.3">
      <c r="A623" s="102"/>
      <c r="B623" s="35" t="s">
        <v>481</v>
      </c>
      <c r="C623" s="31"/>
      <c r="D623" s="31"/>
      <c r="E623" s="125"/>
      <c r="F623" s="133"/>
    </row>
    <row r="624" spans="1:6" x14ac:dyDescent="0.3">
      <c r="A624" s="102"/>
      <c r="B624" s="132"/>
      <c r="C624" s="31"/>
      <c r="D624" s="31"/>
      <c r="E624" s="125"/>
      <c r="F624" s="133"/>
    </row>
    <row r="625" spans="1:6" x14ac:dyDescent="0.3">
      <c r="A625" s="102" t="s">
        <v>36</v>
      </c>
      <c r="B625" s="135" t="s">
        <v>482</v>
      </c>
      <c r="C625" s="31" t="s">
        <v>61</v>
      </c>
      <c r="D625" s="31">
        <v>2</v>
      </c>
      <c r="E625" s="125"/>
      <c r="F625" s="131">
        <f>D625*E625</f>
        <v>0</v>
      </c>
    </row>
    <row r="626" spans="1:6" x14ac:dyDescent="0.3">
      <c r="A626" s="102"/>
      <c r="B626" s="135"/>
      <c r="C626" s="31"/>
      <c r="D626" s="31"/>
      <c r="E626" s="125"/>
      <c r="F626" s="133"/>
    </row>
    <row r="627" spans="1:6" x14ac:dyDescent="0.3">
      <c r="A627" s="102" t="s">
        <v>39</v>
      </c>
      <c r="B627" s="135" t="s">
        <v>483</v>
      </c>
      <c r="C627" s="31" t="s">
        <v>61</v>
      </c>
      <c r="D627" s="31">
        <v>1</v>
      </c>
      <c r="E627" s="125"/>
      <c r="F627" s="131">
        <f>D627*E627</f>
        <v>0</v>
      </c>
    </row>
    <row r="628" spans="1:6" x14ac:dyDescent="0.3">
      <c r="A628" s="102"/>
      <c r="B628" s="135"/>
      <c r="C628" s="31"/>
      <c r="D628" s="31"/>
      <c r="E628" s="125"/>
      <c r="F628" s="133"/>
    </row>
    <row r="629" spans="1:6" x14ac:dyDescent="0.3">
      <c r="A629" s="102"/>
      <c r="B629" s="136" t="s">
        <v>349</v>
      </c>
      <c r="C629" s="31"/>
      <c r="D629" s="31"/>
      <c r="E629" s="125"/>
      <c r="F629" s="125"/>
    </row>
    <row r="630" spans="1:6" x14ac:dyDescent="0.3">
      <c r="A630" s="102"/>
      <c r="B630" s="135"/>
      <c r="C630" s="31"/>
      <c r="D630" s="31"/>
      <c r="E630" s="125"/>
      <c r="F630" s="125"/>
    </row>
    <row r="631" spans="1:6" ht="27.6" x14ac:dyDescent="0.3">
      <c r="A631" s="31" t="s">
        <v>40</v>
      </c>
      <c r="B631" s="69" t="s">
        <v>479</v>
      </c>
      <c r="C631" s="31" t="s">
        <v>61</v>
      </c>
      <c r="D631" s="31">
        <v>2</v>
      </c>
      <c r="E631" s="140"/>
      <c r="F631" s="131">
        <f>D631*E631</f>
        <v>0</v>
      </c>
    </row>
    <row r="632" spans="1:6" x14ac:dyDescent="0.3">
      <c r="A632" s="102"/>
      <c r="B632" s="135"/>
      <c r="C632" s="31"/>
      <c r="D632" s="31"/>
      <c r="E632" s="125"/>
      <c r="F632" s="125"/>
    </row>
    <row r="633" spans="1:6" ht="27.6" x14ac:dyDescent="0.3">
      <c r="A633" s="31" t="s">
        <v>44</v>
      </c>
      <c r="B633" s="69" t="s">
        <v>480</v>
      </c>
      <c r="C633" s="31" t="s">
        <v>61</v>
      </c>
      <c r="D633" s="31">
        <v>1</v>
      </c>
      <c r="E633" s="140"/>
      <c r="F633" s="131">
        <f>D633*E633</f>
        <v>0</v>
      </c>
    </row>
    <row r="634" spans="1:6" x14ac:dyDescent="0.3">
      <c r="A634" s="178"/>
      <c r="B634" s="179"/>
      <c r="C634" s="105"/>
      <c r="D634" s="202"/>
      <c r="E634" s="180"/>
      <c r="F634" s="162"/>
    </row>
    <row r="635" spans="1:6" x14ac:dyDescent="0.3">
      <c r="A635" s="142"/>
      <c r="B635" s="143" t="s">
        <v>350</v>
      </c>
      <c r="C635" s="144"/>
      <c r="D635" s="203"/>
      <c r="E635" s="145" t="s">
        <v>43</v>
      </c>
      <c r="F635" s="146">
        <f>SUM(F620:F633)</f>
        <v>0</v>
      </c>
    </row>
    <row r="636" spans="1:6" x14ac:dyDescent="0.3">
      <c r="A636" s="157"/>
      <c r="B636" s="158"/>
      <c r="C636" s="94"/>
      <c r="D636" s="204"/>
      <c r="E636" s="159"/>
      <c r="F636" s="160"/>
    </row>
    <row r="637" spans="1:6" x14ac:dyDescent="0.3">
      <c r="A637" s="71">
        <v>7</v>
      </c>
      <c r="B637" s="149" t="s">
        <v>351</v>
      </c>
      <c r="C637" s="148"/>
      <c r="D637" s="31"/>
      <c r="E637" s="76"/>
      <c r="F637" s="148"/>
    </row>
    <row r="638" spans="1:6" x14ac:dyDescent="0.3">
      <c r="A638" s="31"/>
      <c r="B638" s="118"/>
      <c r="C638" s="148"/>
      <c r="D638" s="31"/>
      <c r="E638" s="76"/>
      <c r="F638" s="148"/>
    </row>
    <row r="639" spans="1:6" x14ac:dyDescent="0.3">
      <c r="A639" s="31"/>
      <c r="B639" s="161" t="s">
        <v>352</v>
      </c>
      <c r="C639" s="148"/>
      <c r="D639" s="31"/>
      <c r="E639" s="125"/>
      <c r="F639" s="133"/>
    </row>
    <row r="640" spans="1:6" x14ac:dyDescent="0.3">
      <c r="A640" s="31"/>
      <c r="B640" s="161"/>
      <c r="C640" s="148"/>
      <c r="D640" s="31"/>
      <c r="E640" s="125"/>
      <c r="F640" s="133"/>
    </row>
    <row r="641" spans="1:6" ht="42" x14ac:dyDescent="0.3">
      <c r="A641" s="102"/>
      <c r="B641" s="34" t="s">
        <v>353</v>
      </c>
      <c r="C641" s="31"/>
      <c r="D641" s="31"/>
      <c r="E641" s="125"/>
      <c r="F641" s="133"/>
    </row>
    <row r="642" spans="1:6" x14ac:dyDescent="0.3">
      <c r="A642" s="102"/>
      <c r="B642" s="126"/>
      <c r="C642" s="31"/>
      <c r="D642" s="31"/>
      <c r="E642" s="125"/>
      <c r="F642" s="133"/>
    </row>
    <row r="643" spans="1:6" x14ac:dyDescent="0.3">
      <c r="A643" s="102" t="s">
        <v>36</v>
      </c>
      <c r="B643" s="126" t="s">
        <v>354</v>
      </c>
      <c r="C643" s="31" t="s">
        <v>52</v>
      </c>
      <c r="D643" s="31">
        <v>8</v>
      </c>
      <c r="E643" s="125"/>
      <c r="F643" s="131">
        <f>D643*E643</f>
        <v>0</v>
      </c>
    </row>
    <row r="644" spans="1:6" x14ac:dyDescent="0.3">
      <c r="A644" s="102"/>
      <c r="B644" s="126"/>
      <c r="C644" s="124"/>
      <c r="D644" s="31"/>
      <c r="E644" s="125"/>
      <c r="F644" s="133"/>
    </row>
    <row r="645" spans="1:6" x14ac:dyDescent="0.3">
      <c r="A645" s="102" t="s">
        <v>39</v>
      </c>
      <c r="B645" s="126" t="s">
        <v>355</v>
      </c>
      <c r="C645" s="31" t="s">
        <v>52</v>
      </c>
      <c r="D645" s="31">
        <v>12</v>
      </c>
      <c r="E645" s="125"/>
      <c r="F645" s="131">
        <f>D645*E645</f>
        <v>0</v>
      </c>
    </row>
    <row r="646" spans="1:6" x14ac:dyDescent="0.3">
      <c r="A646" s="102"/>
      <c r="B646" s="126"/>
      <c r="C646" s="124"/>
      <c r="D646" s="31"/>
      <c r="E646" s="125"/>
      <c r="F646" s="133"/>
    </row>
    <row r="647" spans="1:6" x14ac:dyDescent="0.3">
      <c r="A647" s="102"/>
      <c r="B647" s="132" t="s">
        <v>356</v>
      </c>
      <c r="C647" s="124"/>
      <c r="D647" s="31"/>
      <c r="E647" s="125"/>
      <c r="F647" s="133"/>
    </row>
    <row r="648" spans="1:6" x14ac:dyDescent="0.3">
      <c r="A648" s="102"/>
      <c r="B648" s="126"/>
      <c r="C648" s="124"/>
      <c r="D648" s="31"/>
      <c r="E648" s="125"/>
      <c r="F648" s="133"/>
    </row>
    <row r="649" spans="1:6" x14ac:dyDescent="0.3">
      <c r="A649" s="102" t="s">
        <v>40</v>
      </c>
      <c r="B649" s="126" t="s">
        <v>357</v>
      </c>
      <c r="C649" s="31" t="s">
        <v>61</v>
      </c>
      <c r="D649" s="31">
        <v>1</v>
      </c>
      <c r="E649" s="125"/>
      <c r="F649" s="131">
        <f>D649*E649</f>
        <v>0</v>
      </c>
    </row>
    <row r="650" spans="1:6" x14ac:dyDescent="0.3">
      <c r="A650" s="102"/>
      <c r="B650" s="126"/>
      <c r="C650" s="31"/>
      <c r="D650" s="31"/>
      <c r="E650" s="125"/>
      <c r="F650" s="133"/>
    </row>
    <row r="651" spans="1:6" x14ac:dyDescent="0.3">
      <c r="A651" s="102" t="s">
        <v>44</v>
      </c>
      <c r="B651" s="126" t="s">
        <v>358</v>
      </c>
      <c r="C651" s="31" t="s">
        <v>61</v>
      </c>
      <c r="D651" s="31">
        <v>1</v>
      </c>
      <c r="E651" s="125"/>
      <c r="F651" s="131">
        <f>D651*E651</f>
        <v>0</v>
      </c>
    </row>
    <row r="652" spans="1:6" x14ac:dyDescent="0.3">
      <c r="A652" s="102"/>
      <c r="B652" s="126"/>
      <c r="C652" s="31"/>
      <c r="D652" s="31"/>
      <c r="E652" s="125"/>
      <c r="F652" s="133"/>
    </row>
    <row r="653" spans="1:6" x14ac:dyDescent="0.3">
      <c r="A653" s="102" t="s">
        <v>46</v>
      </c>
      <c r="B653" s="126" t="s">
        <v>359</v>
      </c>
      <c r="C653" s="31" t="s">
        <v>61</v>
      </c>
      <c r="D653" s="31">
        <v>2</v>
      </c>
      <c r="E653" s="125"/>
      <c r="F653" s="131">
        <f>D653*E653</f>
        <v>0</v>
      </c>
    </row>
    <row r="654" spans="1:6" x14ac:dyDescent="0.3">
      <c r="A654" s="102"/>
      <c r="B654" s="126"/>
      <c r="C654" s="31"/>
      <c r="D654" s="31"/>
      <c r="E654" s="125"/>
      <c r="F654" s="133"/>
    </row>
    <row r="655" spans="1:6" x14ac:dyDescent="0.3">
      <c r="A655" s="102" t="s">
        <v>48</v>
      </c>
      <c r="B655" s="126" t="s">
        <v>360</v>
      </c>
      <c r="C655" s="31" t="s">
        <v>61</v>
      </c>
      <c r="D655" s="31">
        <v>1</v>
      </c>
      <c r="E655" s="125"/>
      <c r="F655" s="131">
        <f>D655*E655</f>
        <v>0</v>
      </c>
    </row>
    <row r="656" spans="1:6" x14ac:dyDescent="0.3">
      <c r="A656" s="102"/>
      <c r="B656" s="126"/>
      <c r="C656" s="31"/>
      <c r="D656" s="31"/>
      <c r="E656" s="125"/>
      <c r="F656" s="133"/>
    </row>
    <row r="657" spans="1:6" x14ac:dyDescent="0.3">
      <c r="A657" s="102" t="s">
        <v>50</v>
      </c>
      <c r="B657" s="126" t="s">
        <v>361</v>
      </c>
      <c r="C657" s="31" t="s">
        <v>61</v>
      </c>
      <c r="D657" s="31">
        <v>2</v>
      </c>
      <c r="E657" s="125"/>
      <c r="F657" s="131">
        <f>D657*E657</f>
        <v>0</v>
      </c>
    </row>
    <row r="658" spans="1:6" x14ac:dyDescent="0.3">
      <c r="A658" s="102"/>
      <c r="B658" s="126"/>
      <c r="C658" s="31"/>
      <c r="D658" s="31"/>
      <c r="E658" s="125"/>
      <c r="F658" s="133"/>
    </row>
    <row r="659" spans="1:6" x14ac:dyDescent="0.3">
      <c r="A659" s="102" t="s">
        <v>51</v>
      </c>
      <c r="B659" s="126" t="s">
        <v>362</v>
      </c>
      <c r="C659" s="31" t="s">
        <v>61</v>
      </c>
      <c r="D659" s="31">
        <v>1</v>
      </c>
      <c r="E659" s="125"/>
      <c r="F659" s="131">
        <f>D659*E659</f>
        <v>0</v>
      </c>
    </row>
    <row r="660" spans="1:6" x14ac:dyDescent="0.3">
      <c r="A660" s="102"/>
      <c r="B660" s="126"/>
      <c r="C660" s="31"/>
      <c r="D660" s="31"/>
      <c r="E660" s="125"/>
      <c r="F660" s="133"/>
    </row>
    <row r="661" spans="1:6" x14ac:dyDescent="0.3">
      <c r="A661" s="102" t="s">
        <v>55</v>
      </c>
      <c r="B661" s="126" t="s">
        <v>363</v>
      </c>
      <c r="C661" s="31" t="s">
        <v>61</v>
      </c>
      <c r="D661" s="31">
        <v>1</v>
      </c>
      <c r="E661" s="125"/>
      <c r="F661" s="131">
        <f>D661*E661</f>
        <v>0</v>
      </c>
    </row>
    <row r="662" spans="1:6" x14ac:dyDescent="0.3">
      <c r="A662" s="102"/>
      <c r="B662" s="126"/>
      <c r="C662" s="31"/>
      <c r="D662" s="31"/>
      <c r="E662" s="125"/>
      <c r="F662" s="133"/>
    </row>
    <row r="663" spans="1:6" x14ac:dyDescent="0.3">
      <c r="A663" s="102"/>
      <c r="B663" s="130" t="s">
        <v>364</v>
      </c>
      <c r="C663" s="31"/>
      <c r="D663" s="31"/>
      <c r="E663" s="125"/>
      <c r="F663" s="133"/>
    </row>
    <row r="664" spans="1:6" x14ac:dyDescent="0.3">
      <c r="A664" s="102"/>
      <c r="B664" s="126"/>
      <c r="C664" s="31"/>
      <c r="D664" s="31"/>
      <c r="E664" s="125"/>
      <c r="F664" s="133"/>
    </row>
    <row r="665" spans="1:6" ht="55.2" x14ac:dyDescent="0.3">
      <c r="A665" s="31" t="s">
        <v>70</v>
      </c>
      <c r="B665" s="69" t="s">
        <v>365</v>
      </c>
      <c r="C665" s="31" t="s">
        <v>61</v>
      </c>
      <c r="D665" s="31">
        <v>1</v>
      </c>
      <c r="E665" s="140"/>
      <c r="F665" s="131">
        <f>D665*E665</f>
        <v>0</v>
      </c>
    </row>
    <row r="666" spans="1:6" x14ac:dyDescent="0.3">
      <c r="A666" s="102"/>
      <c r="B666" s="126"/>
      <c r="C666" s="31"/>
      <c r="D666" s="31"/>
      <c r="E666" s="125"/>
      <c r="F666" s="133"/>
    </row>
    <row r="667" spans="1:6" ht="55.2" x14ac:dyDescent="0.3">
      <c r="A667" s="31" t="s">
        <v>60</v>
      </c>
      <c r="B667" s="69" t="s">
        <v>366</v>
      </c>
      <c r="C667" s="31" t="s">
        <v>61</v>
      </c>
      <c r="D667" s="31">
        <v>1</v>
      </c>
      <c r="E667" s="76"/>
      <c r="F667" s="131">
        <f>D667*E667</f>
        <v>0</v>
      </c>
    </row>
    <row r="668" spans="1:6" x14ac:dyDescent="0.3">
      <c r="A668" s="102"/>
      <c r="B668" s="126"/>
      <c r="C668" s="31"/>
      <c r="D668" s="31"/>
      <c r="E668" s="125"/>
      <c r="F668" s="133"/>
    </row>
    <row r="669" spans="1:6" ht="27.6" x14ac:dyDescent="0.3">
      <c r="A669" s="102" t="s">
        <v>90</v>
      </c>
      <c r="B669" s="69" t="s">
        <v>367</v>
      </c>
      <c r="C669" s="31" t="s">
        <v>61</v>
      </c>
      <c r="D669" s="31">
        <v>1</v>
      </c>
      <c r="E669" s="76"/>
      <c r="F669" s="131">
        <f>D669*E669</f>
        <v>0</v>
      </c>
    </row>
    <row r="670" spans="1:6" x14ac:dyDescent="0.3">
      <c r="A670" s="102"/>
      <c r="B670" s="126"/>
      <c r="C670" s="31"/>
      <c r="D670" s="31"/>
      <c r="E670" s="125"/>
      <c r="F670" s="133"/>
    </row>
    <row r="671" spans="1:6" ht="27.6" x14ac:dyDescent="0.3">
      <c r="A671" s="31" t="s">
        <v>93</v>
      </c>
      <c r="B671" s="69" t="s">
        <v>368</v>
      </c>
      <c r="C671" s="31" t="s">
        <v>241</v>
      </c>
      <c r="D671" s="31">
        <v>1</v>
      </c>
      <c r="E671" s="140"/>
      <c r="F671" s="131">
        <f>D671*E671</f>
        <v>0</v>
      </c>
    </row>
    <row r="672" spans="1:6" x14ac:dyDescent="0.3">
      <c r="A672" s="102"/>
      <c r="B672" s="126"/>
      <c r="C672" s="31"/>
      <c r="D672" s="31"/>
      <c r="E672" s="125"/>
      <c r="F672" s="133"/>
    </row>
    <row r="673" spans="1:6" x14ac:dyDescent="0.3">
      <c r="A673" s="102" t="s">
        <v>95</v>
      </c>
      <c r="B673" s="126" t="s">
        <v>369</v>
      </c>
      <c r="C673" s="31" t="s">
        <v>241</v>
      </c>
      <c r="D673" s="31">
        <v>1</v>
      </c>
      <c r="E673" s="140"/>
      <c r="F673" s="131">
        <f>D673*E673</f>
        <v>0</v>
      </c>
    </row>
    <row r="674" spans="1:6" x14ac:dyDescent="0.3">
      <c r="A674" s="102"/>
      <c r="B674" s="126"/>
      <c r="C674" s="31"/>
      <c r="D674" s="31"/>
      <c r="E674" s="125"/>
      <c r="F674" s="133"/>
    </row>
    <row r="675" spans="1:6" x14ac:dyDescent="0.3">
      <c r="A675" s="102"/>
      <c r="B675" s="132" t="s">
        <v>370</v>
      </c>
      <c r="C675" s="31"/>
      <c r="D675" s="31"/>
      <c r="E675" s="125"/>
      <c r="F675" s="133"/>
    </row>
    <row r="676" spans="1:6" x14ac:dyDescent="0.3">
      <c r="A676" s="102"/>
      <c r="B676" s="126"/>
      <c r="C676" s="31"/>
      <c r="D676" s="31"/>
      <c r="E676" s="125"/>
      <c r="F676" s="133"/>
    </row>
    <row r="677" spans="1:6" ht="28.2" x14ac:dyDescent="0.3">
      <c r="A677" s="102"/>
      <c r="B677" s="34" t="s">
        <v>371</v>
      </c>
      <c r="C677" s="31"/>
      <c r="D677" s="31"/>
      <c r="E677" s="125"/>
      <c r="F677" s="133"/>
    </row>
    <row r="678" spans="1:6" x14ac:dyDescent="0.3">
      <c r="A678" s="102"/>
      <c r="B678" s="154"/>
      <c r="C678" s="31"/>
      <c r="D678" s="31"/>
      <c r="E678" s="125"/>
      <c r="F678" s="133"/>
    </row>
    <row r="679" spans="1:6" x14ac:dyDescent="0.3">
      <c r="A679" s="102" t="s">
        <v>96</v>
      </c>
      <c r="B679" s="126" t="s">
        <v>372</v>
      </c>
      <c r="C679" s="31" t="s">
        <v>373</v>
      </c>
      <c r="D679" s="31">
        <v>22</v>
      </c>
      <c r="E679" s="125"/>
      <c r="F679" s="131">
        <f>D679*E679</f>
        <v>0</v>
      </c>
    </row>
    <row r="680" spans="1:6" x14ac:dyDescent="0.3">
      <c r="A680" s="102"/>
      <c r="B680" s="126"/>
      <c r="C680" s="124"/>
      <c r="D680" s="31"/>
      <c r="E680" s="125"/>
      <c r="F680" s="133"/>
    </row>
    <row r="681" spans="1:6" x14ac:dyDescent="0.3">
      <c r="A681" s="102" t="s">
        <v>100</v>
      </c>
      <c r="B681" s="126" t="s">
        <v>374</v>
      </c>
      <c r="C681" s="31" t="s">
        <v>52</v>
      </c>
      <c r="D681" s="31">
        <v>18</v>
      </c>
      <c r="E681" s="125"/>
      <c r="F681" s="131">
        <f>D681*E681</f>
        <v>0</v>
      </c>
    </row>
    <row r="682" spans="1:6" x14ac:dyDescent="0.3">
      <c r="A682" s="102"/>
      <c r="B682" s="126"/>
      <c r="C682" s="31"/>
      <c r="D682" s="31"/>
      <c r="E682" s="125"/>
      <c r="F682" s="133"/>
    </row>
    <row r="683" spans="1:6" x14ac:dyDescent="0.3">
      <c r="A683" s="102" t="s">
        <v>103</v>
      </c>
      <c r="B683" s="126" t="s">
        <v>375</v>
      </c>
      <c r="C683" s="31" t="s">
        <v>61</v>
      </c>
      <c r="D683" s="31">
        <v>8</v>
      </c>
      <c r="E683" s="125"/>
      <c r="F683" s="131">
        <f>D683*E683</f>
        <v>0</v>
      </c>
    </row>
    <row r="684" spans="1:6" x14ac:dyDescent="0.3">
      <c r="A684" s="102"/>
      <c r="B684" s="126"/>
      <c r="C684" s="31"/>
      <c r="D684" s="31"/>
      <c r="E684" s="125"/>
      <c r="F684" s="133"/>
    </row>
    <row r="685" spans="1:6" x14ac:dyDescent="0.3">
      <c r="A685" s="102" t="s">
        <v>105</v>
      </c>
      <c r="B685" s="126" t="s">
        <v>376</v>
      </c>
      <c r="C685" s="31" t="s">
        <v>61</v>
      </c>
      <c r="D685" s="31">
        <v>2</v>
      </c>
      <c r="E685" s="125"/>
      <c r="F685" s="131">
        <f>D685*E685</f>
        <v>0</v>
      </c>
    </row>
    <row r="686" spans="1:6" x14ac:dyDescent="0.3">
      <c r="A686" s="102"/>
      <c r="B686" s="132"/>
      <c r="C686" s="31"/>
      <c r="D686" s="31"/>
      <c r="E686" s="125"/>
      <c r="F686" s="133"/>
    </row>
    <row r="687" spans="1:6" x14ac:dyDescent="0.3">
      <c r="A687" s="102" t="s">
        <v>107</v>
      </c>
      <c r="B687" s="126" t="s">
        <v>377</v>
      </c>
      <c r="C687" s="31" t="s">
        <v>61</v>
      </c>
      <c r="D687" s="31">
        <v>2</v>
      </c>
      <c r="E687" s="125"/>
      <c r="F687" s="131">
        <f>D687*E687</f>
        <v>0</v>
      </c>
    </row>
    <row r="688" spans="1:6" x14ac:dyDescent="0.3">
      <c r="A688" s="102"/>
      <c r="B688" s="126"/>
      <c r="C688" s="31"/>
      <c r="D688" s="31"/>
      <c r="E688" s="125"/>
      <c r="F688" s="133"/>
    </row>
    <row r="689" spans="1:6" x14ac:dyDescent="0.3">
      <c r="A689" s="102" t="s">
        <v>109</v>
      </c>
      <c r="B689" s="126" t="s">
        <v>378</v>
      </c>
      <c r="C689" s="31" t="s">
        <v>61</v>
      </c>
      <c r="D689" s="31">
        <v>2</v>
      </c>
      <c r="E689" s="125"/>
      <c r="F689" s="131">
        <f>D689*E689</f>
        <v>0</v>
      </c>
    </row>
    <row r="690" spans="1:6" x14ac:dyDescent="0.3">
      <c r="A690" s="102"/>
      <c r="B690" s="126"/>
      <c r="C690" s="31"/>
      <c r="D690" s="31"/>
      <c r="E690" s="125"/>
      <c r="F690" s="133"/>
    </row>
    <row r="691" spans="1:6" x14ac:dyDescent="0.3">
      <c r="A691" s="102"/>
      <c r="B691" s="132" t="s">
        <v>379</v>
      </c>
      <c r="C691" s="31"/>
      <c r="D691" s="31"/>
      <c r="E691" s="125"/>
      <c r="F691" s="133"/>
    </row>
    <row r="692" spans="1:6" x14ac:dyDescent="0.3">
      <c r="A692" s="102"/>
      <c r="B692" s="126"/>
      <c r="C692" s="31"/>
      <c r="D692" s="31"/>
      <c r="E692" s="125"/>
      <c r="F692" s="133"/>
    </row>
    <row r="693" spans="1:6" ht="41.4" x14ac:dyDescent="0.3">
      <c r="A693" s="31" t="s">
        <v>110</v>
      </c>
      <c r="B693" s="69" t="s">
        <v>380</v>
      </c>
      <c r="C693" s="31" t="s">
        <v>241</v>
      </c>
      <c r="D693" s="31">
        <v>1</v>
      </c>
      <c r="E693" s="140"/>
      <c r="F693" s="131">
        <f>D693*E693</f>
        <v>0</v>
      </c>
    </row>
    <row r="694" spans="1:6" x14ac:dyDescent="0.3">
      <c r="A694" s="102"/>
      <c r="B694" s="69"/>
      <c r="C694" s="31"/>
      <c r="D694" s="31"/>
      <c r="E694" s="140"/>
      <c r="F694" s="131"/>
    </row>
    <row r="695" spans="1:6" ht="41.4" x14ac:dyDescent="0.3">
      <c r="A695" s="102" t="s">
        <v>111</v>
      </c>
      <c r="B695" s="69" t="s">
        <v>381</v>
      </c>
      <c r="C695" s="31" t="s">
        <v>241</v>
      </c>
      <c r="D695" s="31">
        <v>1</v>
      </c>
      <c r="E695" s="140"/>
      <c r="F695" s="131">
        <f>D695*E695</f>
        <v>0</v>
      </c>
    </row>
    <row r="696" spans="1:6" x14ac:dyDescent="0.3">
      <c r="A696" s="102"/>
      <c r="B696" s="126"/>
      <c r="C696" s="31"/>
      <c r="D696" s="31"/>
      <c r="E696" s="125"/>
      <c r="F696" s="133"/>
    </row>
    <row r="697" spans="1:6" x14ac:dyDescent="0.3">
      <c r="A697" s="102" t="s">
        <v>112</v>
      </c>
      <c r="B697" s="126" t="s">
        <v>382</v>
      </c>
      <c r="C697" s="31" t="s">
        <v>61</v>
      </c>
      <c r="D697" s="31">
        <v>2</v>
      </c>
      <c r="E697" s="125"/>
      <c r="F697" s="131">
        <f>D697*E697</f>
        <v>0</v>
      </c>
    </row>
    <row r="698" spans="1:6" x14ac:dyDescent="0.3">
      <c r="A698" s="102"/>
      <c r="B698" s="126"/>
      <c r="C698" s="31"/>
      <c r="D698" s="31"/>
      <c r="E698" s="125"/>
      <c r="F698" s="133"/>
    </row>
    <row r="699" spans="1:6" x14ac:dyDescent="0.3">
      <c r="A699" s="102" t="s">
        <v>114</v>
      </c>
      <c r="B699" s="126" t="s">
        <v>383</v>
      </c>
      <c r="C699" s="31" t="s">
        <v>61</v>
      </c>
      <c r="D699" s="31">
        <v>1</v>
      </c>
      <c r="E699" s="125"/>
      <c r="F699" s="131">
        <f>D699*E699</f>
        <v>0</v>
      </c>
    </row>
    <row r="700" spans="1:6" x14ac:dyDescent="0.3">
      <c r="A700" s="31"/>
      <c r="B700" s="126"/>
      <c r="C700" s="31"/>
      <c r="D700" s="31"/>
      <c r="E700" s="125"/>
      <c r="F700" s="133"/>
    </row>
    <row r="701" spans="1:6" x14ac:dyDescent="0.3">
      <c r="A701" s="31" t="s">
        <v>115</v>
      </c>
      <c r="B701" s="126" t="s">
        <v>384</v>
      </c>
      <c r="C701" s="31" t="s">
        <v>61</v>
      </c>
      <c r="D701" s="31">
        <v>1</v>
      </c>
      <c r="E701" s="125"/>
      <c r="F701" s="131">
        <f>D701*E701</f>
        <v>0</v>
      </c>
    </row>
    <row r="702" spans="1:6" x14ac:dyDescent="0.3">
      <c r="A702" s="178"/>
      <c r="B702" s="179"/>
      <c r="C702" s="105"/>
      <c r="D702" s="202"/>
      <c r="E702" s="205"/>
      <c r="F702" s="162"/>
    </row>
    <row r="703" spans="1:6" ht="27.6" x14ac:dyDescent="0.3">
      <c r="A703" s="142"/>
      <c r="B703" s="143" t="s">
        <v>385</v>
      </c>
      <c r="C703" s="144"/>
      <c r="D703" s="203"/>
      <c r="E703" s="145" t="s">
        <v>43</v>
      </c>
      <c r="F703" s="146">
        <f>SUM(F639:F701)</f>
        <v>0</v>
      </c>
    </row>
    <row r="704" spans="1:6" x14ac:dyDescent="0.3">
      <c r="A704" s="157"/>
      <c r="B704" s="158"/>
      <c r="C704" s="94"/>
      <c r="D704" s="204"/>
      <c r="E704" s="206"/>
      <c r="F704" s="160"/>
    </row>
    <row r="705" spans="1:6" x14ac:dyDescent="0.3">
      <c r="A705" s="71">
        <v>8</v>
      </c>
      <c r="B705" s="149" t="s">
        <v>217</v>
      </c>
      <c r="C705" s="148"/>
      <c r="D705" s="31"/>
      <c r="E705" s="76"/>
      <c r="F705" s="148"/>
    </row>
    <row r="706" spans="1:6" x14ac:dyDescent="0.3">
      <c r="A706" s="31"/>
      <c r="B706" s="118" t="s">
        <v>218</v>
      </c>
      <c r="C706" s="148"/>
      <c r="D706" s="31"/>
      <c r="E706" s="76"/>
      <c r="F706" s="148"/>
    </row>
    <row r="707" spans="1:6" x14ac:dyDescent="0.3">
      <c r="A707" s="31"/>
      <c r="B707" s="118"/>
      <c r="C707" s="148"/>
      <c r="D707" s="31"/>
      <c r="E707" s="76"/>
      <c r="F707" s="148"/>
    </row>
    <row r="708" spans="1:6" x14ac:dyDescent="0.3">
      <c r="A708" s="31"/>
      <c r="B708" s="161" t="s">
        <v>219</v>
      </c>
      <c r="C708" s="148"/>
      <c r="D708" s="31"/>
      <c r="E708" s="76"/>
      <c r="F708" s="148"/>
    </row>
    <row r="709" spans="1:6" x14ac:dyDescent="0.3">
      <c r="A709" s="31"/>
      <c r="B709" s="118"/>
      <c r="C709" s="148"/>
      <c r="D709" s="31"/>
      <c r="E709" s="76"/>
      <c r="F709" s="148"/>
    </row>
    <row r="710" spans="1:6" ht="27.6" x14ac:dyDescent="0.3">
      <c r="A710" s="31"/>
      <c r="B710" s="163" t="s">
        <v>220</v>
      </c>
      <c r="C710" s="148"/>
      <c r="D710" s="31"/>
      <c r="E710" s="76"/>
      <c r="F710" s="148"/>
    </row>
    <row r="711" spans="1:6" x14ac:dyDescent="0.3">
      <c r="A711" s="31"/>
      <c r="B711" s="118"/>
      <c r="C711" s="148"/>
      <c r="D711" s="31"/>
      <c r="E711" s="76"/>
      <c r="F711" s="148"/>
    </row>
    <row r="712" spans="1:6" ht="27.6" x14ac:dyDescent="0.3">
      <c r="A712" s="31" t="s">
        <v>36</v>
      </c>
      <c r="B712" s="118" t="s">
        <v>386</v>
      </c>
      <c r="C712" s="148"/>
      <c r="D712" s="31"/>
      <c r="E712" s="76"/>
      <c r="F712" s="148"/>
    </row>
    <row r="713" spans="1:6" x14ac:dyDescent="0.3">
      <c r="A713" s="31"/>
      <c r="B713" s="118"/>
      <c r="C713" s="148"/>
      <c r="D713" s="31"/>
      <c r="E713" s="76"/>
      <c r="F713" s="148"/>
    </row>
    <row r="714" spans="1:6" x14ac:dyDescent="0.3">
      <c r="A714" s="31"/>
      <c r="B714" s="118" t="s">
        <v>387</v>
      </c>
      <c r="C714" s="148"/>
      <c r="D714" s="31"/>
      <c r="E714" s="76"/>
      <c r="F714" s="148"/>
    </row>
    <row r="715" spans="1:6" x14ac:dyDescent="0.3">
      <c r="A715" s="31"/>
      <c r="B715" s="118" t="s">
        <v>388</v>
      </c>
      <c r="C715" s="148"/>
      <c r="D715" s="31"/>
      <c r="E715" s="76"/>
      <c r="F715" s="148"/>
    </row>
    <row r="716" spans="1:6" x14ac:dyDescent="0.3">
      <c r="A716" s="31"/>
      <c r="B716" s="118" t="s">
        <v>389</v>
      </c>
      <c r="C716" s="148"/>
      <c r="D716" s="31"/>
      <c r="E716" s="76"/>
      <c r="F716" s="148"/>
    </row>
    <row r="717" spans="1:6" x14ac:dyDescent="0.3">
      <c r="A717" s="31"/>
      <c r="B717" s="118" t="s">
        <v>390</v>
      </c>
      <c r="C717" s="148"/>
      <c r="D717" s="31"/>
      <c r="E717" s="76"/>
      <c r="F717" s="148"/>
    </row>
    <row r="718" spans="1:6" x14ac:dyDescent="0.3">
      <c r="A718" s="31"/>
      <c r="B718" s="118" t="s">
        <v>391</v>
      </c>
      <c r="C718" s="148"/>
      <c r="D718" s="31"/>
      <c r="E718" s="76"/>
      <c r="F718" s="148"/>
    </row>
    <row r="719" spans="1:6" x14ac:dyDescent="0.3">
      <c r="A719" s="31"/>
      <c r="B719" s="118" t="s">
        <v>392</v>
      </c>
      <c r="C719" s="148"/>
      <c r="D719" s="31"/>
      <c r="E719" s="76"/>
      <c r="F719" s="148"/>
    </row>
    <row r="720" spans="1:6" x14ac:dyDescent="0.3">
      <c r="A720" s="31"/>
      <c r="B720" s="118"/>
      <c r="C720" s="148"/>
      <c r="D720" s="31"/>
      <c r="E720" s="76"/>
      <c r="F720" s="148"/>
    </row>
    <row r="721" spans="1:6" ht="27.6" x14ac:dyDescent="0.3">
      <c r="A721" s="31"/>
      <c r="B721" s="118" t="s">
        <v>393</v>
      </c>
      <c r="C721" s="148" t="s">
        <v>61</v>
      </c>
      <c r="D721" s="31">
        <v>1</v>
      </c>
      <c r="E721" s="76"/>
      <c r="F721" s="131">
        <f>D721*E721</f>
        <v>0</v>
      </c>
    </row>
    <row r="722" spans="1:6" x14ac:dyDescent="0.3">
      <c r="A722" s="31"/>
      <c r="B722" s="118"/>
      <c r="C722" s="148"/>
      <c r="D722" s="31"/>
      <c r="E722" s="76"/>
      <c r="F722" s="148"/>
    </row>
    <row r="723" spans="1:6" x14ac:dyDescent="0.3">
      <c r="A723" s="102"/>
      <c r="B723" s="130" t="s">
        <v>232</v>
      </c>
      <c r="C723" s="31"/>
      <c r="D723" s="31"/>
      <c r="E723" s="125"/>
      <c r="F723" s="125"/>
    </row>
    <row r="724" spans="1:6" x14ac:dyDescent="0.3">
      <c r="A724" s="165"/>
      <c r="B724" s="166"/>
      <c r="C724" s="167"/>
      <c r="D724" s="167"/>
      <c r="E724" s="257"/>
      <c r="F724" s="166"/>
    </row>
    <row r="725" spans="1:6" ht="82.8" x14ac:dyDescent="0.3">
      <c r="A725" s="165"/>
      <c r="B725" s="168" t="s">
        <v>394</v>
      </c>
      <c r="C725" s="167"/>
      <c r="D725" s="167"/>
      <c r="E725" s="257"/>
      <c r="F725" s="166"/>
    </row>
    <row r="726" spans="1:6" ht="27.6" x14ac:dyDescent="0.3">
      <c r="A726" s="165" t="s">
        <v>39</v>
      </c>
      <c r="B726" s="169" t="s">
        <v>234</v>
      </c>
      <c r="C726" s="167" t="s">
        <v>61</v>
      </c>
      <c r="D726" s="167">
        <v>1</v>
      </c>
      <c r="E726" s="257"/>
      <c r="F726" s="131">
        <f>D726*E726</f>
        <v>0</v>
      </c>
    </row>
    <row r="727" spans="1:6" x14ac:dyDescent="0.3">
      <c r="A727" s="165"/>
      <c r="B727" s="166"/>
      <c r="C727" s="167"/>
      <c r="D727" s="167"/>
      <c r="E727" s="257"/>
      <c r="F727" s="166"/>
    </row>
    <row r="728" spans="1:6" x14ac:dyDescent="0.3">
      <c r="A728" s="165" t="s">
        <v>40</v>
      </c>
      <c r="B728" s="169" t="s">
        <v>395</v>
      </c>
      <c r="C728" s="167" t="s">
        <v>61</v>
      </c>
      <c r="D728" s="167">
        <v>1</v>
      </c>
      <c r="E728" s="257"/>
      <c r="F728" s="131">
        <f>D728*E728</f>
        <v>0</v>
      </c>
    </row>
    <row r="729" spans="1:6" x14ac:dyDescent="0.3">
      <c r="A729" s="165"/>
      <c r="B729" s="166"/>
      <c r="C729" s="167"/>
      <c r="D729" s="167"/>
      <c r="E729" s="257"/>
      <c r="F729" s="166"/>
    </row>
    <row r="730" spans="1:6" x14ac:dyDescent="0.3">
      <c r="A730" s="165"/>
      <c r="B730" s="130" t="s">
        <v>248</v>
      </c>
      <c r="C730" s="31"/>
      <c r="D730" s="31"/>
      <c r="E730" s="125"/>
      <c r="F730" s="133"/>
    </row>
    <row r="731" spans="1:6" x14ac:dyDescent="0.3">
      <c r="A731" s="165"/>
      <c r="B731" s="126"/>
      <c r="C731" s="31"/>
      <c r="D731" s="31"/>
      <c r="E731" s="125"/>
      <c r="F731" s="133"/>
    </row>
    <row r="732" spans="1:6" x14ac:dyDescent="0.3">
      <c r="A732" s="165" t="s">
        <v>44</v>
      </c>
      <c r="B732" s="126" t="s">
        <v>396</v>
      </c>
      <c r="C732" s="31" t="s">
        <v>240</v>
      </c>
      <c r="D732" s="31">
        <v>1</v>
      </c>
      <c r="E732" s="125"/>
      <c r="F732" s="131">
        <f>D732*E732</f>
        <v>0</v>
      </c>
    </row>
    <row r="733" spans="1:6" x14ac:dyDescent="0.3">
      <c r="A733" s="165"/>
      <c r="B733" s="126"/>
      <c r="C733" s="31"/>
      <c r="D733" s="31"/>
      <c r="E733" s="125"/>
      <c r="F733" s="133"/>
    </row>
    <row r="734" spans="1:6" x14ac:dyDescent="0.3">
      <c r="A734" s="165" t="s">
        <v>46</v>
      </c>
      <c r="B734" s="126" t="s">
        <v>397</v>
      </c>
      <c r="C734" s="31" t="s">
        <v>240</v>
      </c>
      <c r="D734" s="31">
        <v>1</v>
      </c>
      <c r="E734" s="125"/>
      <c r="F734" s="131">
        <f>D734*E734</f>
        <v>0</v>
      </c>
    </row>
    <row r="735" spans="1:6" x14ac:dyDescent="0.3">
      <c r="A735" s="165"/>
      <c r="B735" s="126"/>
      <c r="C735" s="31"/>
      <c r="D735" s="31"/>
      <c r="E735" s="125"/>
      <c r="F735" s="133"/>
    </row>
    <row r="736" spans="1:6" x14ac:dyDescent="0.3">
      <c r="A736" s="165" t="s">
        <v>48</v>
      </c>
      <c r="B736" s="126" t="s">
        <v>398</v>
      </c>
      <c r="C736" s="31" t="s">
        <v>240</v>
      </c>
      <c r="D736" s="31">
        <v>1</v>
      </c>
      <c r="E736" s="125"/>
      <c r="F736" s="131">
        <f>D736*E736</f>
        <v>0</v>
      </c>
    </row>
    <row r="737" spans="1:6" x14ac:dyDescent="0.3">
      <c r="A737" s="165"/>
      <c r="B737" s="166"/>
      <c r="C737" s="167"/>
      <c r="D737" s="167"/>
      <c r="E737" s="125"/>
      <c r="F737" s="166"/>
    </row>
    <row r="738" spans="1:6" x14ac:dyDescent="0.3">
      <c r="A738" s="165" t="s">
        <v>50</v>
      </c>
      <c r="B738" s="126" t="s">
        <v>399</v>
      </c>
      <c r="C738" s="31" t="s">
        <v>240</v>
      </c>
      <c r="D738" s="31">
        <v>1</v>
      </c>
      <c r="E738" s="125"/>
      <c r="F738" s="131">
        <f>D738*E738</f>
        <v>0</v>
      </c>
    </row>
    <row r="739" spans="1:6" x14ac:dyDescent="0.3">
      <c r="A739" s="165"/>
      <c r="B739" s="132"/>
      <c r="C739" s="31"/>
      <c r="D739" s="31"/>
      <c r="E739" s="125"/>
      <c r="F739" s="166"/>
    </row>
    <row r="740" spans="1:6" x14ac:dyDescent="0.3">
      <c r="A740" s="165" t="s">
        <v>51</v>
      </c>
      <c r="B740" s="126" t="s">
        <v>400</v>
      </c>
      <c r="C740" s="31" t="s">
        <v>240</v>
      </c>
      <c r="D740" s="31">
        <v>1</v>
      </c>
      <c r="E740" s="125"/>
      <c r="F740" s="131">
        <f>D740*E740</f>
        <v>0</v>
      </c>
    </row>
    <row r="741" spans="1:6" x14ac:dyDescent="0.3">
      <c r="A741" s="165"/>
      <c r="B741" s="166"/>
      <c r="C741" s="167"/>
      <c r="D741" s="167"/>
      <c r="E741" s="257"/>
      <c r="F741" s="166"/>
    </row>
    <row r="742" spans="1:6" x14ac:dyDescent="0.3">
      <c r="A742" s="165"/>
      <c r="B742" s="207" t="s">
        <v>250</v>
      </c>
      <c r="C742" s="167"/>
      <c r="D742" s="167"/>
      <c r="E742" s="257"/>
      <c r="F742" s="166"/>
    </row>
    <row r="743" spans="1:6" x14ac:dyDescent="0.3">
      <c r="A743" s="165"/>
      <c r="B743" s="166"/>
      <c r="C743" s="167"/>
      <c r="D743" s="167"/>
      <c r="E743" s="257"/>
      <c r="F743" s="166"/>
    </row>
    <row r="744" spans="1:6" x14ac:dyDescent="0.3">
      <c r="A744" s="165" t="s">
        <v>55</v>
      </c>
      <c r="B744" s="126" t="s">
        <v>401</v>
      </c>
      <c r="C744" s="31" t="s">
        <v>201</v>
      </c>
      <c r="D744" s="31">
        <v>2</v>
      </c>
      <c r="E744" s="257"/>
      <c r="F744" s="131">
        <f>D744*E744</f>
        <v>0</v>
      </c>
    </row>
    <row r="745" spans="1:6" x14ac:dyDescent="0.3">
      <c r="A745" s="165"/>
      <c r="B745" s="166"/>
      <c r="C745" s="170"/>
      <c r="D745" s="208"/>
      <c r="E745" s="257"/>
      <c r="F745" s="166"/>
    </row>
    <row r="746" spans="1:6" x14ac:dyDescent="0.3">
      <c r="A746" s="165"/>
      <c r="B746" s="177" t="s">
        <v>252</v>
      </c>
      <c r="C746" s="31"/>
      <c r="D746" s="31"/>
      <c r="E746" s="125"/>
      <c r="F746" s="133"/>
    </row>
    <row r="747" spans="1:6" x14ac:dyDescent="0.3">
      <c r="A747" s="165"/>
      <c r="B747" s="126"/>
      <c r="C747" s="31"/>
      <c r="D747" s="31"/>
      <c r="E747" s="125"/>
      <c r="F747" s="133"/>
    </row>
    <row r="748" spans="1:6" ht="28.2" x14ac:dyDescent="0.3">
      <c r="A748" s="165"/>
      <c r="B748" s="35" t="s">
        <v>402</v>
      </c>
      <c r="C748" s="31"/>
      <c r="D748" s="31"/>
      <c r="E748" s="125"/>
      <c r="F748" s="133"/>
    </row>
    <row r="749" spans="1:6" x14ac:dyDescent="0.3">
      <c r="A749" s="165"/>
      <c r="B749" s="126"/>
      <c r="C749" s="31"/>
      <c r="D749" s="31"/>
      <c r="E749" s="125"/>
      <c r="F749" s="133"/>
    </row>
    <row r="750" spans="1:6" x14ac:dyDescent="0.3">
      <c r="A750" s="165" t="s">
        <v>70</v>
      </c>
      <c r="B750" s="126" t="s">
        <v>403</v>
      </c>
      <c r="C750" s="31" t="s">
        <v>201</v>
      </c>
      <c r="D750" s="31">
        <v>1</v>
      </c>
      <c r="E750" s="125"/>
      <c r="F750" s="131">
        <f>D750*E750</f>
        <v>0</v>
      </c>
    </row>
    <row r="751" spans="1:6" x14ac:dyDescent="0.3">
      <c r="A751" s="165"/>
      <c r="B751" s="135"/>
      <c r="C751" s="31"/>
      <c r="D751" s="31"/>
      <c r="E751" s="125"/>
      <c r="F751" s="133"/>
    </row>
    <row r="752" spans="1:6" x14ac:dyDescent="0.3">
      <c r="A752" s="165"/>
      <c r="B752" s="177" t="s">
        <v>404</v>
      </c>
      <c r="C752" s="31"/>
      <c r="D752" s="31"/>
      <c r="E752" s="75"/>
      <c r="F752" s="32"/>
    </row>
    <row r="753" spans="1:6" x14ac:dyDescent="0.3">
      <c r="A753" s="165"/>
      <c r="B753" s="126"/>
      <c r="C753" s="31"/>
      <c r="D753" s="31"/>
      <c r="E753" s="75"/>
      <c r="F753" s="32"/>
    </row>
    <row r="754" spans="1:6" ht="27.6" x14ac:dyDescent="0.3">
      <c r="A754" s="167" t="s">
        <v>60</v>
      </c>
      <c r="B754" s="69" t="s">
        <v>405</v>
      </c>
      <c r="C754" s="31" t="s">
        <v>201</v>
      </c>
      <c r="D754" s="31">
        <v>2</v>
      </c>
      <c r="E754" s="76"/>
      <c r="F754" s="131">
        <f>D754*E754</f>
        <v>0</v>
      </c>
    </row>
    <row r="755" spans="1:6" x14ac:dyDescent="0.3">
      <c r="A755" s="165"/>
      <c r="B755" s="126"/>
      <c r="C755" s="31"/>
      <c r="D755" s="31"/>
      <c r="E755" s="75"/>
      <c r="F755" s="32"/>
    </row>
    <row r="756" spans="1:6" ht="27.6" x14ac:dyDescent="0.3">
      <c r="A756" s="167" t="s">
        <v>90</v>
      </c>
      <c r="B756" s="69" t="s">
        <v>406</v>
      </c>
      <c r="C756" s="31" t="s">
        <v>201</v>
      </c>
      <c r="D756" s="31">
        <v>2</v>
      </c>
      <c r="E756" s="76"/>
      <c r="F756" s="131">
        <f>D756*E756</f>
        <v>0</v>
      </c>
    </row>
    <row r="757" spans="1:6" x14ac:dyDescent="0.3">
      <c r="A757" s="102"/>
      <c r="B757" s="126"/>
      <c r="C757" s="31"/>
      <c r="D757" s="201"/>
      <c r="E757" s="140"/>
      <c r="F757" s="141"/>
    </row>
    <row r="758" spans="1:6" ht="27.6" x14ac:dyDescent="0.3">
      <c r="A758" s="142"/>
      <c r="B758" s="143" t="s">
        <v>242</v>
      </c>
      <c r="C758" s="144"/>
      <c r="D758" s="203"/>
      <c r="E758" s="145" t="s">
        <v>43</v>
      </c>
      <c r="F758" s="146">
        <f>SUM(F719:F756)</f>
        <v>0</v>
      </c>
    </row>
    <row r="759" spans="1:6" x14ac:dyDescent="0.3">
      <c r="A759" s="102"/>
      <c r="B759" s="126"/>
      <c r="C759" s="31"/>
      <c r="D759" s="201"/>
      <c r="E759" s="140"/>
      <c r="F759" s="141"/>
    </row>
    <row r="760" spans="1:6" x14ac:dyDescent="0.3">
      <c r="A760" s="71">
        <v>9</v>
      </c>
      <c r="B760" s="149" t="s">
        <v>407</v>
      </c>
      <c r="C760" s="31"/>
      <c r="D760" s="201"/>
      <c r="E760" s="140"/>
      <c r="F760" s="141"/>
    </row>
    <row r="761" spans="1:6" x14ac:dyDescent="0.3">
      <c r="A761" s="31"/>
      <c r="B761" s="118"/>
      <c r="C761" s="31"/>
      <c r="D761" s="201"/>
      <c r="E761" s="140"/>
      <c r="F761" s="141"/>
    </row>
    <row r="762" spans="1:6" x14ac:dyDescent="0.3">
      <c r="A762" s="102"/>
      <c r="B762" s="130" t="s">
        <v>264</v>
      </c>
      <c r="C762" s="124"/>
      <c r="D762" s="31"/>
      <c r="E762" s="140"/>
      <c r="F762" s="125"/>
    </row>
    <row r="763" spans="1:6" x14ac:dyDescent="0.3">
      <c r="A763" s="102"/>
      <c r="B763" s="130"/>
      <c r="C763" s="124"/>
      <c r="D763" s="31"/>
      <c r="E763" s="140"/>
      <c r="F763" s="125"/>
    </row>
    <row r="764" spans="1:6" x14ac:dyDescent="0.3">
      <c r="A764" s="102"/>
      <c r="B764" s="130" t="s">
        <v>265</v>
      </c>
      <c r="C764" s="31"/>
      <c r="D764" s="31"/>
      <c r="E764" s="140"/>
      <c r="F764" s="133"/>
    </row>
    <row r="765" spans="1:6" x14ac:dyDescent="0.3">
      <c r="A765" s="102"/>
      <c r="B765" s="126"/>
      <c r="C765" s="31"/>
      <c r="D765" s="31"/>
      <c r="E765" s="125"/>
      <c r="F765" s="125"/>
    </row>
    <row r="766" spans="1:6" s="50" customFormat="1" ht="27.6" x14ac:dyDescent="0.3">
      <c r="A766" s="31" t="s">
        <v>36</v>
      </c>
      <c r="B766" s="69" t="s">
        <v>408</v>
      </c>
      <c r="C766" s="31" t="s">
        <v>65</v>
      </c>
      <c r="D766" s="31">
        <v>11</v>
      </c>
      <c r="E766" s="140"/>
      <c r="F766" s="131">
        <f>D766*E766</f>
        <v>0</v>
      </c>
    </row>
    <row r="767" spans="1:6" x14ac:dyDescent="0.3">
      <c r="A767" s="102"/>
      <c r="B767" s="126"/>
      <c r="C767" s="31"/>
      <c r="D767" s="31"/>
      <c r="E767" s="125"/>
      <c r="F767" s="133"/>
    </row>
    <row r="768" spans="1:6" ht="82.8" x14ac:dyDescent="0.3">
      <c r="A768" s="31" t="s">
        <v>39</v>
      </c>
      <c r="B768" s="171" t="s">
        <v>409</v>
      </c>
      <c r="C768" s="31" t="s">
        <v>65</v>
      </c>
      <c r="D768" s="31">
        <v>11</v>
      </c>
      <c r="E768" s="140"/>
      <c r="F768" s="131">
        <f>D768*E768</f>
        <v>0</v>
      </c>
    </row>
    <row r="769" spans="1:6" x14ac:dyDescent="0.3">
      <c r="A769" s="102"/>
      <c r="B769" s="126"/>
      <c r="C769" s="31"/>
      <c r="D769" s="31"/>
      <c r="E769" s="125"/>
      <c r="F769" s="125"/>
    </row>
    <row r="770" spans="1:6" ht="27.6" x14ac:dyDescent="0.3">
      <c r="A770" s="31" t="s">
        <v>40</v>
      </c>
      <c r="B770" s="171" t="s">
        <v>410</v>
      </c>
      <c r="C770" s="31" t="s">
        <v>65</v>
      </c>
      <c r="D770" s="31">
        <v>1</v>
      </c>
      <c r="E770" s="140"/>
      <c r="F770" s="131">
        <f>D770*E770</f>
        <v>0</v>
      </c>
    </row>
    <row r="771" spans="1:6" x14ac:dyDescent="0.3">
      <c r="A771" s="102"/>
      <c r="B771" s="130"/>
      <c r="C771" s="124"/>
      <c r="D771" s="31"/>
      <c r="E771" s="125"/>
      <c r="F771" s="125"/>
    </row>
    <row r="772" spans="1:6" ht="41.4" x14ac:dyDescent="0.3">
      <c r="A772" s="102"/>
      <c r="B772" s="163" t="s">
        <v>411</v>
      </c>
      <c r="C772" s="31"/>
      <c r="D772" s="31"/>
      <c r="E772" s="125"/>
      <c r="F772" s="133"/>
    </row>
    <row r="773" spans="1:6" x14ac:dyDescent="0.3">
      <c r="A773" s="102"/>
      <c r="B773" s="137"/>
      <c r="C773" s="31"/>
      <c r="D773" s="31"/>
      <c r="E773" s="125"/>
      <c r="F773" s="133"/>
    </row>
    <row r="774" spans="1:6" x14ac:dyDescent="0.3">
      <c r="A774" s="102" t="s">
        <v>44</v>
      </c>
      <c r="B774" s="135" t="s">
        <v>412</v>
      </c>
      <c r="C774" s="31" t="s">
        <v>65</v>
      </c>
      <c r="D774" s="31">
        <v>103</v>
      </c>
      <c r="E774" s="125"/>
      <c r="F774" s="131">
        <f>D774*E774</f>
        <v>0</v>
      </c>
    </row>
    <row r="775" spans="1:6" x14ac:dyDescent="0.3">
      <c r="A775" s="102"/>
      <c r="B775" s="135"/>
      <c r="C775" s="31"/>
      <c r="D775" s="31"/>
      <c r="E775" s="125"/>
      <c r="F775" s="131"/>
    </row>
    <row r="776" spans="1:6" x14ac:dyDescent="0.3">
      <c r="A776" s="102"/>
      <c r="B776" s="136" t="s">
        <v>413</v>
      </c>
      <c r="C776" s="31"/>
      <c r="D776" s="31"/>
      <c r="E776" s="125"/>
      <c r="F776" s="131"/>
    </row>
    <row r="777" spans="1:6" x14ac:dyDescent="0.3">
      <c r="A777" s="102"/>
      <c r="B777" s="135"/>
      <c r="C777" s="31"/>
      <c r="D777" s="31"/>
      <c r="E777" s="125"/>
      <c r="F777" s="131"/>
    </row>
    <row r="778" spans="1:6" ht="55.2" x14ac:dyDescent="0.3">
      <c r="A778" s="31" t="s">
        <v>46</v>
      </c>
      <c r="B778" s="118" t="s">
        <v>414</v>
      </c>
      <c r="C778" s="31" t="s">
        <v>65</v>
      </c>
      <c r="D778" s="31">
        <v>26</v>
      </c>
      <c r="E778" s="140"/>
      <c r="F778" s="131">
        <f>D778*E778</f>
        <v>0</v>
      </c>
    </row>
    <row r="779" spans="1:6" x14ac:dyDescent="0.3">
      <c r="A779" s="102"/>
      <c r="B779" s="126"/>
      <c r="C779" s="31"/>
      <c r="D779" s="201"/>
      <c r="E779" s="140"/>
      <c r="F779" s="141"/>
    </row>
    <row r="780" spans="1:6" ht="27.6" x14ac:dyDescent="0.3">
      <c r="A780" s="142"/>
      <c r="B780" s="143" t="s">
        <v>415</v>
      </c>
      <c r="C780" s="144"/>
      <c r="D780" s="203"/>
      <c r="E780" s="145" t="s">
        <v>43</v>
      </c>
      <c r="F780" s="146">
        <f>SUM(F765:F778)</f>
        <v>0</v>
      </c>
    </row>
    <row r="781" spans="1:6" x14ac:dyDescent="0.3">
      <c r="A781" s="157"/>
      <c r="B781" s="158"/>
      <c r="C781" s="94"/>
      <c r="D781" s="204"/>
      <c r="E781" s="159"/>
      <c r="F781" s="160"/>
    </row>
    <row r="782" spans="1:6" x14ac:dyDescent="0.3">
      <c r="A782" s="71">
        <v>10</v>
      </c>
      <c r="B782" s="149" t="s">
        <v>280</v>
      </c>
      <c r="C782" s="148"/>
      <c r="D782" s="31"/>
      <c r="E782" s="76"/>
      <c r="F782" s="148"/>
    </row>
    <row r="783" spans="1:6" x14ac:dyDescent="0.3">
      <c r="A783" s="31"/>
      <c r="B783" s="149"/>
      <c r="C783" s="148"/>
      <c r="D783" s="31"/>
      <c r="E783" s="76"/>
      <c r="F783" s="148"/>
    </row>
    <row r="784" spans="1:6" x14ac:dyDescent="0.3">
      <c r="A784" s="102"/>
      <c r="B784" s="126" t="s">
        <v>416</v>
      </c>
      <c r="C784" s="124"/>
      <c r="D784" s="31"/>
      <c r="E784" s="140"/>
      <c r="F784" s="125"/>
    </row>
    <row r="785" spans="1:6" x14ac:dyDescent="0.3">
      <c r="A785" s="102"/>
      <c r="B785" s="135"/>
      <c r="C785" s="31"/>
      <c r="D785" s="31"/>
      <c r="E785" s="140"/>
      <c r="F785" s="131"/>
    </row>
    <row r="786" spans="1:6" ht="42" x14ac:dyDescent="0.3">
      <c r="A786" s="102"/>
      <c r="B786" s="35" t="s">
        <v>417</v>
      </c>
      <c r="C786" s="31"/>
      <c r="D786" s="31"/>
      <c r="E786" s="140"/>
      <c r="F786" s="133"/>
    </row>
    <row r="787" spans="1:6" x14ac:dyDescent="0.3">
      <c r="A787" s="102"/>
      <c r="B787" s="130"/>
      <c r="C787" s="31"/>
      <c r="D787" s="31"/>
      <c r="E787" s="125"/>
      <c r="F787" s="131"/>
    </row>
    <row r="788" spans="1:6" x14ac:dyDescent="0.3">
      <c r="A788" s="102" t="s">
        <v>36</v>
      </c>
      <c r="B788" s="126" t="s">
        <v>484</v>
      </c>
      <c r="C788" s="31" t="s">
        <v>65</v>
      </c>
      <c r="D788" s="31">
        <v>95</v>
      </c>
      <c r="E788" s="125"/>
      <c r="F788" s="131">
        <f>D788*E788</f>
        <v>0</v>
      </c>
    </row>
    <row r="789" spans="1:6" x14ac:dyDescent="0.3">
      <c r="A789" s="102"/>
      <c r="B789" s="135"/>
      <c r="C789" s="31"/>
      <c r="D789" s="31"/>
      <c r="E789" s="125"/>
      <c r="F789" s="131"/>
    </row>
    <row r="790" spans="1:6" ht="27.6" x14ac:dyDescent="0.3">
      <c r="A790" s="102"/>
      <c r="B790" s="155" t="s">
        <v>418</v>
      </c>
      <c r="C790" s="31"/>
      <c r="D790" s="31"/>
      <c r="E790" s="125"/>
      <c r="F790" s="131"/>
    </row>
    <row r="791" spans="1:6" x14ac:dyDescent="0.3">
      <c r="A791" s="102"/>
      <c r="B791" s="126"/>
      <c r="C791" s="31"/>
      <c r="D791" s="31"/>
      <c r="E791" s="125"/>
      <c r="F791" s="131"/>
    </row>
    <row r="792" spans="1:6" x14ac:dyDescent="0.3">
      <c r="A792" s="102" t="s">
        <v>39</v>
      </c>
      <c r="B792" s="126" t="s">
        <v>419</v>
      </c>
      <c r="C792" s="31" t="s">
        <v>65</v>
      </c>
      <c r="D792" s="31">
        <v>4</v>
      </c>
      <c r="E792" s="125"/>
      <c r="F792" s="131">
        <f>D792*E792</f>
        <v>0</v>
      </c>
    </row>
    <row r="793" spans="1:6" x14ac:dyDescent="0.3">
      <c r="A793" s="102"/>
      <c r="B793" s="154"/>
      <c r="C793" s="31"/>
      <c r="D793" s="31"/>
      <c r="E793" s="140"/>
      <c r="F793" s="141"/>
    </row>
    <row r="794" spans="1:6" x14ac:dyDescent="0.3">
      <c r="A794" s="102" t="s">
        <v>40</v>
      </c>
      <c r="B794" s="154" t="s">
        <v>420</v>
      </c>
      <c r="C794" s="31" t="s">
        <v>65</v>
      </c>
      <c r="D794" s="31">
        <v>6</v>
      </c>
      <c r="E794" s="140"/>
      <c r="F794" s="131">
        <f>D794*E794</f>
        <v>0</v>
      </c>
    </row>
    <row r="795" spans="1:6" x14ac:dyDescent="0.3">
      <c r="A795" s="178"/>
      <c r="B795" s="179"/>
      <c r="C795" s="105"/>
      <c r="D795" s="202"/>
      <c r="E795" s="180"/>
      <c r="F795" s="162"/>
    </row>
    <row r="796" spans="1:6" ht="27.6" x14ac:dyDescent="0.3">
      <c r="A796" s="142"/>
      <c r="B796" s="143" t="s">
        <v>283</v>
      </c>
      <c r="C796" s="144"/>
      <c r="D796" s="203"/>
      <c r="E796" s="145" t="s">
        <v>43</v>
      </c>
      <c r="F796" s="146">
        <f>SUM(F786:F794)</f>
        <v>0</v>
      </c>
    </row>
    <row r="797" spans="1:6" x14ac:dyDescent="0.3">
      <c r="A797" s="209"/>
      <c r="B797" s="210"/>
      <c r="C797" s="211"/>
      <c r="D797" s="212"/>
      <c r="E797" s="213"/>
      <c r="F797" s="214"/>
    </row>
    <row r="798" spans="1:6" x14ac:dyDescent="0.3">
      <c r="A798" s="151"/>
      <c r="B798" s="326" t="s">
        <v>71</v>
      </c>
      <c r="C798" s="326"/>
      <c r="D798" s="326"/>
      <c r="E798" s="326"/>
      <c r="F798" s="215"/>
    </row>
    <row r="799" spans="1:6" x14ac:dyDescent="0.3">
      <c r="A799" s="62"/>
      <c r="B799" s="316" t="s">
        <v>485</v>
      </c>
      <c r="C799" s="316"/>
      <c r="D799" s="316"/>
      <c r="E799" s="316"/>
      <c r="F799" s="216"/>
    </row>
    <row r="800" spans="1:6" x14ac:dyDescent="0.3">
      <c r="A800" s="64"/>
      <c r="B800" s="217"/>
      <c r="C800" s="218"/>
      <c r="D800" s="219"/>
      <c r="E800" s="258"/>
      <c r="F800" s="220"/>
    </row>
    <row r="801" spans="1:6" x14ac:dyDescent="0.3">
      <c r="A801" s="157"/>
      <c r="B801" s="224"/>
      <c r="C801" s="225"/>
      <c r="D801" s="94"/>
      <c r="E801" s="159"/>
      <c r="F801" s="226"/>
    </row>
    <row r="802" spans="1:6" x14ac:dyDescent="0.3">
      <c r="A802" s="102">
        <v>1</v>
      </c>
      <c r="B802" s="126" t="s">
        <v>75</v>
      </c>
      <c r="C802" s="124"/>
      <c r="D802" s="31"/>
      <c r="E802" s="140"/>
      <c r="F802" s="134">
        <f>F528</f>
        <v>0</v>
      </c>
    </row>
    <row r="803" spans="1:6" x14ac:dyDescent="0.3">
      <c r="A803" s="102"/>
      <c r="B803" s="126"/>
      <c r="C803" s="124"/>
      <c r="D803" s="31"/>
      <c r="E803" s="140"/>
      <c r="F803" s="133"/>
    </row>
    <row r="804" spans="1:6" x14ac:dyDescent="0.3">
      <c r="A804" s="102">
        <v>2</v>
      </c>
      <c r="B804" s="126" t="s">
        <v>57</v>
      </c>
      <c r="C804" s="124"/>
      <c r="D804" s="31"/>
      <c r="E804" s="140"/>
      <c r="F804" s="133">
        <f>F553</f>
        <v>0</v>
      </c>
    </row>
    <row r="805" spans="1:6" x14ac:dyDescent="0.3">
      <c r="A805" s="102"/>
      <c r="B805" s="126"/>
      <c r="C805" s="31"/>
      <c r="D805" s="31"/>
      <c r="E805" s="140"/>
      <c r="F805" s="133"/>
    </row>
    <row r="806" spans="1:6" x14ac:dyDescent="0.3">
      <c r="A806" s="102">
        <v>3</v>
      </c>
      <c r="B806" s="126" t="s">
        <v>421</v>
      </c>
      <c r="C806" s="31"/>
      <c r="D806" s="31"/>
      <c r="E806" s="140"/>
      <c r="F806" s="133">
        <f>F579</f>
        <v>0</v>
      </c>
    </row>
    <row r="807" spans="1:6" x14ac:dyDescent="0.3">
      <c r="A807" s="102"/>
      <c r="B807" s="126"/>
      <c r="C807" s="31"/>
      <c r="D807" s="31"/>
      <c r="E807" s="140"/>
      <c r="F807" s="133"/>
    </row>
    <row r="808" spans="1:6" x14ac:dyDescent="0.3">
      <c r="A808" s="102">
        <v>4</v>
      </c>
      <c r="B808" s="126" t="s">
        <v>166</v>
      </c>
      <c r="C808" s="31"/>
      <c r="D808" s="31"/>
      <c r="E808" s="140"/>
      <c r="F808" s="133">
        <f>F587</f>
        <v>0</v>
      </c>
    </row>
    <row r="809" spans="1:6" x14ac:dyDescent="0.3">
      <c r="A809" s="102"/>
      <c r="B809" s="126"/>
      <c r="C809" s="31"/>
      <c r="D809" s="31"/>
      <c r="E809" s="140"/>
      <c r="F809" s="133"/>
    </row>
    <row r="810" spans="1:6" x14ac:dyDescent="0.3">
      <c r="A810" s="102">
        <v>5</v>
      </c>
      <c r="B810" s="126" t="s">
        <v>422</v>
      </c>
      <c r="C810" s="31"/>
      <c r="D810" s="31"/>
      <c r="E810" s="140"/>
      <c r="F810" s="133">
        <f>F617</f>
        <v>0</v>
      </c>
    </row>
    <row r="811" spans="1:6" x14ac:dyDescent="0.3">
      <c r="A811" s="102"/>
      <c r="B811" s="126"/>
      <c r="C811" s="31"/>
      <c r="D811" s="31"/>
      <c r="E811" s="140"/>
      <c r="F811" s="133"/>
    </row>
    <row r="812" spans="1:6" x14ac:dyDescent="0.3">
      <c r="A812" s="102">
        <v>6</v>
      </c>
      <c r="B812" s="126" t="s">
        <v>423</v>
      </c>
      <c r="C812" s="124"/>
      <c r="D812" s="31"/>
      <c r="E812" s="140"/>
      <c r="F812" s="133">
        <f>F635</f>
        <v>0</v>
      </c>
    </row>
    <row r="813" spans="1:6" x14ac:dyDescent="0.3">
      <c r="A813" s="102"/>
      <c r="B813" s="126"/>
      <c r="C813" s="124"/>
      <c r="D813" s="31"/>
      <c r="E813" s="140"/>
      <c r="F813" s="133"/>
    </row>
    <row r="814" spans="1:6" x14ac:dyDescent="0.3">
      <c r="A814" s="102">
        <v>7</v>
      </c>
      <c r="B814" s="126" t="s">
        <v>424</v>
      </c>
      <c r="C814" s="124"/>
      <c r="D814" s="31"/>
      <c r="E814" s="140"/>
      <c r="F814" s="133">
        <f>F703</f>
        <v>0</v>
      </c>
    </row>
    <row r="815" spans="1:6" x14ac:dyDescent="0.3">
      <c r="A815" s="102"/>
      <c r="B815" s="126"/>
      <c r="C815" s="124"/>
      <c r="D815" s="31"/>
      <c r="E815" s="140"/>
      <c r="F815" s="133"/>
    </row>
    <row r="816" spans="1:6" x14ac:dyDescent="0.3">
      <c r="A816" s="102">
        <v>8</v>
      </c>
      <c r="B816" s="126" t="s">
        <v>425</v>
      </c>
      <c r="C816" s="124"/>
      <c r="D816" s="31"/>
      <c r="E816" s="140"/>
      <c r="F816" s="133">
        <f>F758</f>
        <v>0</v>
      </c>
    </row>
    <row r="817" spans="1:6" x14ac:dyDescent="0.3">
      <c r="A817" s="102"/>
      <c r="B817" s="126"/>
      <c r="C817" s="124"/>
      <c r="D817" s="31"/>
      <c r="E817" s="140"/>
      <c r="F817" s="133"/>
    </row>
    <row r="818" spans="1:6" x14ac:dyDescent="0.3">
      <c r="A818" s="102">
        <v>9</v>
      </c>
      <c r="B818" s="126" t="s">
        <v>426</v>
      </c>
      <c r="C818" s="124"/>
      <c r="D818" s="31"/>
      <c r="E818" s="140"/>
      <c r="F818" s="133">
        <f>F780</f>
        <v>0</v>
      </c>
    </row>
    <row r="819" spans="1:6" x14ac:dyDescent="0.3">
      <c r="A819" s="102"/>
      <c r="B819" s="126"/>
      <c r="C819" s="124"/>
      <c r="D819" s="31"/>
      <c r="E819" s="140"/>
      <c r="F819" s="133"/>
    </row>
    <row r="820" spans="1:6" x14ac:dyDescent="0.3">
      <c r="A820" s="102">
        <v>10</v>
      </c>
      <c r="B820" s="126" t="s">
        <v>267</v>
      </c>
      <c r="C820" s="124"/>
      <c r="D820" s="31"/>
      <c r="E820" s="140"/>
      <c r="F820" s="133">
        <f>F796</f>
        <v>0</v>
      </c>
    </row>
    <row r="821" spans="1:6" x14ac:dyDescent="0.3">
      <c r="A821" s="102"/>
      <c r="B821" s="153"/>
      <c r="C821" s="164"/>
      <c r="D821" s="31"/>
      <c r="E821" s="140"/>
      <c r="F821" s="172"/>
    </row>
    <row r="822" spans="1:6" x14ac:dyDescent="0.3">
      <c r="A822" s="87"/>
      <c r="B822" s="143" t="s">
        <v>493</v>
      </c>
      <c r="C822" s="173"/>
      <c r="D822" s="227"/>
      <c r="E822" s="228" t="s">
        <v>43</v>
      </c>
      <c r="F822" s="174">
        <f>SUM(F802:F820)</f>
        <v>0</v>
      </c>
    </row>
    <row r="823" spans="1:6" x14ac:dyDescent="0.3">
      <c r="A823" s="322"/>
      <c r="B823" s="323"/>
      <c r="C823" s="323"/>
      <c r="D823" s="323"/>
      <c r="E823" s="323"/>
      <c r="F823" s="324"/>
    </row>
    <row r="824" spans="1:6" x14ac:dyDescent="0.3">
      <c r="A824" s="119"/>
      <c r="B824" s="323" t="s">
        <v>486</v>
      </c>
      <c r="C824" s="323"/>
      <c r="D824" s="323"/>
      <c r="E824" s="323"/>
      <c r="F824" s="120"/>
    </row>
    <row r="825" spans="1:6" x14ac:dyDescent="0.3">
      <c r="A825" s="119"/>
      <c r="B825" s="323" t="s">
        <v>430</v>
      </c>
      <c r="C825" s="323"/>
      <c r="D825" s="323"/>
      <c r="E825" s="323"/>
      <c r="F825" s="120"/>
    </row>
    <row r="826" spans="1:6" x14ac:dyDescent="0.3">
      <c r="A826" s="119"/>
      <c r="B826" s="325"/>
      <c r="C826" s="325"/>
      <c r="D826" s="325"/>
      <c r="E826" s="325"/>
      <c r="F826" s="120"/>
    </row>
    <row r="827" spans="1:6" x14ac:dyDescent="0.3">
      <c r="A827" s="267" t="s">
        <v>284</v>
      </c>
      <c r="B827" s="268" t="s">
        <v>1</v>
      </c>
      <c r="C827" s="269" t="s">
        <v>2</v>
      </c>
      <c r="D827" s="270" t="s">
        <v>3</v>
      </c>
      <c r="E827" s="269" t="s">
        <v>4</v>
      </c>
      <c r="F827" s="271" t="s">
        <v>5</v>
      </c>
    </row>
    <row r="828" spans="1:6" x14ac:dyDescent="0.3">
      <c r="A828" s="176"/>
      <c r="B828" s="121"/>
      <c r="C828" s="41"/>
      <c r="D828" s="71"/>
      <c r="E828" s="83"/>
      <c r="F828" s="83"/>
    </row>
    <row r="829" spans="1:6" x14ac:dyDescent="0.3">
      <c r="A829" s="122">
        <v>4</v>
      </c>
      <c r="B829" s="123" t="s">
        <v>430</v>
      </c>
      <c r="C829" s="102"/>
      <c r="D829" s="102"/>
      <c r="E829" s="125"/>
      <c r="F829" s="181"/>
    </row>
    <row r="830" spans="1:6" x14ac:dyDescent="0.3">
      <c r="A830" s="102"/>
      <c r="B830" s="132"/>
      <c r="C830" s="102"/>
      <c r="D830" s="102"/>
      <c r="E830" s="125"/>
      <c r="F830" s="181"/>
    </row>
    <row r="831" spans="1:6" ht="41.4" x14ac:dyDescent="0.3">
      <c r="A831" s="31" t="s">
        <v>36</v>
      </c>
      <c r="B831" s="69" t="s">
        <v>431</v>
      </c>
      <c r="C831" s="31" t="s">
        <v>66</v>
      </c>
      <c r="D831" s="31">
        <v>22</v>
      </c>
      <c r="E831" s="140"/>
      <c r="F831" s="131">
        <f>D831*E831</f>
        <v>0</v>
      </c>
    </row>
    <row r="832" spans="1:6" x14ac:dyDescent="0.3">
      <c r="A832" s="102"/>
      <c r="B832" s="126"/>
      <c r="C832" s="102"/>
      <c r="D832" s="182"/>
      <c r="E832" s="125"/>
      <c r="F832" s="133"/>
    </row>
    <row r="833" spans="1:6" x14ac:dyDescent="0.3">
      <c r="A833" s="102" t="s">
        <v>39</v>
      </c>
      <c r="B833" s="126" t="s">
        <v>432</v>
      </c>
      <c r="C833" s="102" t="s">
        <v>66</v>
      </c>
      <c r="D833" s="102">
        <v>18</v>
      </c>
      <c r="E833" s="125"/>
      <c r="F833" s="131">
        <f>D833*E833</f>
        <v>0</v>
      </c>
    </row>
    <row r="834" spans="1:6" x14ac:dyDescent="0.3">
      <c r="A834" s="102"/>
      <c r="B834" s="126"/>
      <c r="C834" s="102"/>
      <c r="D834" s="102"/>
      <c r="E834" s="125"/>
      <c r="F834" s="133"/>
    </row>
    <row r="835" spans="1:6" ht="27.6" x14ac:dyDescent="0.3">
      <c r="A835" s="31" t="s">
        <v>40</v>
      </c>
      <c r="B835" s="69" t="s">
        <v>451</v>
      </c>
      <c r="C835" s="31" t="s">
        <v>66</v>
      </c>
      <c r="D835" s="31">
        <v>1</v>
      </c>
      <c r="E835" s="140"/>
      <c r="F835" s="131">
        <f>D835*E835</f>
        <v>0</v>
      </c>
    </row>
    <row r="836" spans="1:6" x14ac:dyDescent="0.3">
      <c r="A836" s="102"/>
      <c r="B836" s="132"/>
      <c r="C836" s="102"/>
      <c r="D836" s="102"/>
      <c r="E836" s="125"/>
      <c r="F836" s="133"/>
    </row>
    <row r="837" spans="1:6" s="50" customFormat="1" ht="27.6" x14ac:dyDescent="0.3">
      <c r="A837" s="31" t="s">
        <v>44</v>
      </c>
      <c r="B837" s="69" t="s">
        <v>433</v>
      </c>
      <c r="C837" s="31" t="s">
        <v>66</v>
      </c>
      <c r="D837" s="200">
        <v>32</v>
      </c>
      <c r="E837" s="140"/>
      <c r="F837" s="131">
        <f>D837*E837</f>
        <v>0</v>
      </c>
    </row>
    <row r="838" spans="1:6" x14ac:dyDescent="0.3">
      <c r="A838" s="102"/>
      <c r="B838" s="126"/>
      <c r="C838" s="102"/>
      <c r="D838" s="102"/>
      <c r="E838" s="125"/>
      <c r="F838" s="133"/>
    </row>
    <row r="839" spans="1:6" x14ac:dyDescent="0.3">
      <c r="A839" s="102" t="s">
        <v>46</v>
      </c>
      <c r="B839" s="126" t="s">
        <v>434</v>
      </c>
      <c r="C839" s="102" t="s">
        <v>66</v>
      </c>
      <c r="D839" s="102">
        <v>6</v>
      </c>
      <c r="E839" s="125"/>
      <c r="F839" s="131">
        <f>D839*E839</f>
        <v>0</v>
      </c>
    </row>
    <row r="840" spans="1:6" x14ac:dyDescent="0.3">
      <c r="A840" s="102"/>
      <c r="B840" s="126"/>
      <c r="C840" s="102"/>
      <c r="D840" s="102"/>
      <c r="E840" s="125"/>
      <c r="F840" s="133"/>
    </row>
    <row r="841" spans="1:6" s="50" customFormat="1" ht="27.6" x14ac:dyDescent="0.3">
      <c r="A841" s="31" t="s">
        <v>48</v>
      </c>
      <c r="B841" s="69" t="s">
        <v>435</v>
      </c>
      <c r="C841" s="31" t="s">
        <v>66</v>
      </c>
      <c r="D841" s="31">
        <v>1</v>
      </c>
      <c r="E841" s="140"/>
      <c r="F841" s="131">
        <f>D841*E841</f>
        <v>0</v>
      </c>
    </row>
    <row r="842" spans="1:6" x14ac:dyDescent="0.3">
      <c r="A842" s="102"/>
      <c r="B842" s="126"/>
      <c r="C842" s="102"/>
      <c r="D842" s="102"/>
      <c r="E842" s="125"/>
      <c r="F842" s="133"/>
    </row>
    <row r="843" spans="1:6" ht="55.2" x14ac:dyDescent="0.3">
      <c r="A843" s="31" t="s">
        <v>50</v>
      </c>
      <c r="B843" s="69" t="s">
        <v>436</v>
      </c>
      <c r="C843" s="31" t="s">
        <v>61</v>
      </c>
      <c r="D843" s="31">
        <v>2</v>
      </c>
      <c r="E843" s="140"/>
      <c r="F843" s="131">
        <f>D843*E843</f>
        <v>0</v>
      </c>
    </row>
    <row r="844" spans="1:6" x14ac:dyDescent="0.3">
      <c r="A844" s="102"/>
      <c r="B844" s="126"/>
      <c r="C844" s="102"/>
      <c r="D844" s="102"/>
      <c r="E844" s="125"/>
      <c r="F844" s="133"/>
    </row>
    <row r="845" spans="1:6" ht="27.6" x14ac:dyDescent="0.3">
      <c r="A845" s="31" t="s">
        <v>51</v>
      </c>
      <c r="B845" s="69" t="s">
        <v>437</v>
      </c>
      <c r="C845" s="31" t="s">
        <v>66</v>
      </c>
      <c r="D845" s="31">
        <v>1</v>
      </c>
      <c r="E845" s="140"/>
      <c r="F845" s="131">
        <f>D845*E845</f>
        <v>0</v>
      </c>
    </row>
    <row r="846" spans="1:6" x14ac:dyDescent="0.3">
      <c r="A846" s="102"/>
      <c r="B846" s="126"/>
      <c r="C846" s="126"/>
      <c r="D846" s="102"/>
      <c r="E846" s="125"/>
      <c r="F846" s="133"/>
    </row>
    <row r="847" spans="1:6" x14ac:dyDescent="0.3">
      <c r="A847" s="102" t="s">
        <v>55</v>
      </c>
      <c r="B847" s="126" t="s">
        <v>438</v>
      </c>
      <c r="C847" s="102" t="s">
        <v>66</v>
      </c>
      <c r="D847" s="102">
        <v>1</v>
      </c>
      <c r="E847" s="125"/>
      <c r="F847" s="131">
        <f>D847*E847</f>
        <v>0</v>
      </c>
    </row>
    <row r="848" spans="1:6" x14ac:dyDescent="0.3">
      <c r="A848" s="102"/>
      <c r="B848" s="126"/>
      <c r="C848" s="126"/>
      <c r="D848" s="102"/>
      <c r="E848" s="125"/>
      <c r="F848" s="133"/>
    </row>
    <row r="849" spans="1:6" ht="41.4" x14ac:dyDescent="0.3">
      <c r="A849" s="31" t="s">
        <v>70</v>
      </c>
      <c r="B849" s="69" t="s">
        <v>439</v>
      </c>
      <c r="C849" s="31" t="s">
        <v>142</v>
      </c>
      <c r="D849" s="31">
        <f>180+45</f>
        <v>225</v>
      </c>
      <c r="E849" s="140"/>
      <c r="F849" s="131">
        <f>D849*E849</f>
        <v>0</v>
      </c>
    </row>
    <row r="850" spans="1:6" x14ac:dyDescent="0.3">
      <c r="A850" s="102"/>
      <c r="B850" s="126"/>
      <c r="C850" s="102"/>
      <c r="D850" s="102"/>
      <c r="E850" s="125"/>
      <c r="F850" s="133"/>
    </row>
    <row r="851" spans="1:6" ht="55.2" x14ac:dyDescent="0.3">
      <c r="A851" s="31" t="s">
        <v>60</v>
      </c>
      <c r="B851" s="69" t="s">
        <v>440</v>
      </c>
      <c r="C851" s="31" t="s">
        <v>65</v>
      </c>
      <c r="D851" s="31">
        <v>8</v>
      </c>
      <c r="E851" s="140"/>
      <c r="F851" s="131">
        <f>D851*E851</f>
        <v>0</v>
      </c>
    </row>
    <row r="852" spans="1:6" x14ac:dyDescent="0.3">
      <c r="A852" s="102"/>
      <c r="B852" s="126"/>
      <c r="C852" s="126"/>
      <c r="D852" s="102"/>
      <c r="E852" s="125"/>
      <c r="F852" s="133"/>
    </row>
    <row r="853" spans="1:6" ht="27.6" x14ac:dyDescent="0.3">
      <c r="A853" s="31" t="s">
        <v>90</v>
      </c>
      <c r="B853" s="69" t="s">
        <v>441</v>
      </c>
      <c r="C853" s="31" t="s">
        <v>65</v>
      </c>
      <c r="D853" s="31">
        <v>16</v>
      </c>
      <c r="E853" s="140"/>
      <c r="F853" s="131">
        <f>D853*E853</f>
        <v>0</v>
      </c>
    </row>
    <row r="854" spans="1:6" x14ac:dyDescent="0.3">
      <c r="A854" s="102"/>
      <c r="B854" s="126"/>
      <c r="C854" s="102"/>
      <c r="D854" s="102"/>
      <c r="E854" s="125"/>
      <c r="F854" s="133"/>
    </row>
    <row r="855" spans="1:6" s="50" customFormat="1" ht="27.6" x14ac:dyDescent="0.3">
      <c r="A855" s="31" t="s">
        <v>93</v>
      </c>
      <c r="B855" s="69" t="s">
        <v>442</v>
      </c>
      <c r="C855" s="31" t="s">
        <v>52</v>
      </c>
      <c r="D855" s="31">
        <v>30</v>
      </c>
      <c r="E855" s="140"/>
      <c r="F855" s="131">
        <f>D855*E855</f>
        <v>0</v>
      </c>
    </row>
    <row r="856" spans="1:6" x14ac:dyDescent="0.3">
      <c r="A856" s="102"/>
      <c r="B856" s="126"/>
      <c r="C856" s="102"/>
      <c r="D856" s="102"/>
      <c r="E856" s="125"/>
      <c r="F856" s="133"/>
    </row>
    <row r="857" spans="1:6" x14ac:dyDescent="0.3">
      <c r="A857" s="102" t="s">
        <v>95</v>
      </c>
      <c r="B857" s="126" t="s">
        <v>443</v>
      </c>
      <c r="C857" s="102" t="s">
        <v>52</v>
      </c>
      <c r="D857" s="102">
        <v>4</v>
      </c>
      <c r="E857" s="125"/>
      <c r="F857" s="131">
        <f>D857*E857</f>
        <v>0</v>
      </c>
    </row>
    <row r="858" spans="1:6" x14ac:dyDescent="0.3">
      <c r="A858" s="102"/>
      <c r="B858" s="126"/>
      <c r="C858" s="102"/>
      <c r="D858" s="102"/>
      <c r="E858" s="125"/>
      <c r="F858" s="133"/>
    </row>
    <row r="859" spans="1:6" ht="41.4" x14ac:dyDescent="0.3">
      <c r="A859" s="31" t="s">
        <v>96</v>
      </c>
      <c r="B859" s="69" t="s">
        <v>444</v>
      </c>
      <c r="C859" s="31" t="s">
        <v>65</v>
      </c>
      <c r="D859" s="31">
        <v>42</v>
      </c>
      <c r="E859" s="140"/>
      <c r="F859" s="131">
        <f>D859*E859</f>
        <v>0</v>
      </c>
    </row>
    <row r="860" spans="1:6" x14ac:dyDescent="0.3">
      <c r="A860" s="102"/>
      <c r="B860" s="126"/>
      <c r="C860" s="102"/>
      <c r="D860" s="102"/>
      <c r="E860" s="125"/>
      <c r="F860" s="133"/>
    </row>
    <row r="861" spans="1:6" ht="27.6" x14ac:dyDescent="0.3">
      <c r="A861" s="31" t="s">
        <v>100</v>
      </c>
      <c r="B861" s="69" t="s">
        <v>445</v>
      </c>
      <c r="C861" s="31" t="s">
        <v>61</v>
      </c>
      <c r="D861" s="31">
        <v>2</v>
      </c>
      <c r="E861" s="140"/>
      <c r="F861" s="131">
        <f>D861*E861</f>
        <v>0</v>
      </c>
    </row>
    <row r="862" spans="1:6" x14ac:dyDescent="0.3">
      <c r="A862" s="102"/>
      <c r="B862" s="126"/>
      <c r="C862" s="102"/>
      <c r="D862" s="102"/>
      <c r="E862" s="125"/>
      <c r="F862" s="133"/>
    </row>
    <row r="863" spans="1:6" ht="27.6" x14ac:dyDescent="0.3">
      <c r="A863" s="31" t="s">
        <v>103</v>
      </c>
      <c r="B863" s="69" t="s">
        <v>446</v>
      </c>
      <c r="C863" s="31" t="s">
        <v>52</v>
      </c>
      <c r="D863" s="31">
        <v>90</v>
      </c>
      <c r="E863" s="140"/>
      <c r="F863" s="131">
        <f>D863*E863</f>
        <v>0</v>
      </c>
    </row>
    <row r="864" spans="1:6" x14ac:dyDescent="0.3">
      <c r="A864" s="102"/>
      <c r="B864" s="126"/>
      <c r="C864" s="102"/>
      <c r="D864" s="102"/>
      <c r="E864" s="125"/>
      <c r="F864" s="133"/>
    </row>
    <row r="865" spans="1:6" ht="27.6" x14ac:dyDescent="0.3">
      <c r="A865" s="31" t="s">
        <v>105</v>
      </c>
      <c r="B865" s="69" t="s">
        <v>447</v>
      </c>
      <c r="C865" s="31" t="s">
        <v>61</v>
      </c>
      <c r="D865" s="31">
        <v>2</v>
      </c>
      <c r="E865" s="140"/>
      <c r="F865" s="131">
        <f>D865*E865</f>
        <v>0</v>
      </c>
    </row>
    <row r="866" spans="1:6" x14ac:dyDescent="0.3">
      <c r="A866" s="102"/>
      <c r="B866" s="126"/>
      <c r="C866" s="102"/>
      <c r="D866" s="102"/>
      <c r="E866" s="125"/>
      <c r="F866" s="133"/>
    </row>
    <row r="867" spans="1:6" ht="55.2" x14ac:dyDescent="0.3">
      <c r="A867" s="31" t="s">
        <v>107</v>
      </c>
      <c r="B867" s="69" t="s">
        <v>448</v>
      </c>
      <c r="C867" s="31" t="s">
        <v>61</v>
      </c>
      <c r="D867" s="31">
        <v>2</v>
      </c>
      <c r="E867" s="140"/>
      <c r="F867" s="131">
        <f>D867*E867</f>
        <v>0</v>
      </c>
    </row>
    <row r="868" spans="1:6" x14ac:dyDescent="0.3">
      <c r="A868" s="102"/>
      <c r="B868" s="126"/>
      <c r="C868" s="102"/>
      <c r="D868" s="102"/>
      <c r="E868" s="125"/>
      <c r="F868" s="133"/>
    </row>
    <row r="869" spans="1:6" ht="55.2" x14ac:dyDescent="0.3">
      <c r="A869" s="31" t="s">
        <v>109</v>
      </c>
      <c r="B869" s="69" t="s">
        <v>449</v>
      </c>
      <c r="C869" s="31" t="s">
        <v>61</v>
      </c>
      <c r="D869" s="31">
        <v>2</v>
      </c>
      <c r="E869" s="140"/>
      <c r="F869" s="131">
        <f>D869*E869</f>
        <v>0</v>
      </c>
    </row>
    <row r="870" spans="1:6" x14ac:dyDescent="0.3">
      <c r="A870" s="102"/>
      <c r="B870" s="126"/>
      <c r="C870" s="126"/>
      <c r="D870" s="102"/>
      <c r="E870" s="125"/>
      <c r="F870" s="133"/>
    </row>
    <row r="871" spans="1:6" ht="27.6" x14ac:dyDescent="0.3">
      <c r="A871" s="31" t="s">
        <v>110</v>
      </c>
      <c r="B871" s="69" t="s">
        <v>450</v>
      </c>
      <c r="C871" s="31" t="s">
        <v>65</v>
      </c>
      <c r="D871" s="31">
        <v>41</v>
      </c>
      <c r="E871" s="140"/>
      <c r="F871" s="131">
        <f>D871*E871</f>
        <v>0</v>
      </c>
    </row>
    <row r="872" spans="1:6" x14ac:dyDescent="0.3">
      <c r="A872" s="102"/>
      <c r="B872" s="126"/>
      <c r="C872" s="102"/>
      <c r="D872" s="102"/>
      <c r="E872" s="125"/>
      <c r="F872" s="133"/>
    </row>
    <row r="873" spans="1:6" ht="41.4" x14ac:dyDescent="0.3">
      <c r="A873" s="31" t="s">
        <v>111</v>
      </c>
      <c r="B873" s="69" t="s">
        <v>487</v>
      </c>
      <c r="C873" s="31" t="s">
        <v>201</v>
      </c>
      <c r="D873" s="31">
        <v>2</v>
      </c>
      <c r="E873" s="140"/>
      <c r="F873" s="131">
        <f>D873*E873</f>
        <v>0</v>
      </c>
    </row>
    <row r="874" spans="1:6" x14ac:dyDescent="0.3">
      <c r="A874" s="183"/>
      <c r="B874" s="184"/>
      <c r="C874" s="192"/>
      <c r="D874" s="185"/>
      <c r="E874" s="259"/>
      <c r="F874" s="229" t="str">
        <f t="shared" ref="F874" si="0">IF(D874&gt;0,D874*E874,"")</f>
        <v/>
      </c>
    </row>
    <row r="875" spans="1:6" x14ac:dyDescent="0.3">
      <c r="A875" s="186"/>
      <c r="B875" s="187" t="s">
        <v>492</v>
      </c>
      <c r="C875" s="188"/>
      <c r="D875" s="189"/>
      <c r="E875" s="260" t="s">
        <v>43</v>
      </c>
      <c r="F875" s="190">
        <f>SUM(F831:F873)</f>
        <v>0</v>
      </c>
    </row>
    <row r="876" spans="1:6" x14ac:dyDescent="0.3">
      <c r="A876" s="322"/>
      <c r="B876" s="323"/>
      <c r="C876" s="323"/>
      <c r="D876" s="323"/>
      <c r="E876" s="323"/>
      <c r="F876" s="324"/>
    </row>
    <row r="877" spans="1:6" x14ac:dyDescent="0.3">
      <c r="A877" s="119"/>
      <c r="B877" s="323" t="s">
        <v>488</v>
      </c>
      <c r="C877" s="323"/>
      <c r="D877" s="323"/>
      <c r="E877" s="323"/>
      <c r="F877" s="120"/>
    </row>
    <row r="878" spans="1:6" x14ac:dyDescent="0.3">
      <c r="A878" s="119"/>
      <c r="B878" s="323" t="s">
        <v>489</v>
      </c>
      <c r="C878" s="323"/>
      <c r="D878" s="323"/>
      <c r="E878" s="323"/>
      <c r="F878" s="120"/>
    </row>
    <row r="879" spans="1:6" x14ac:dyDescent="0.3">
      <c r="A879" s="119"/>
      <c r="B879" s="325"/>
      <c r="C879" s="325"/>
      <c r="D879" s="325"/>
      <c r="E879" s="325"/>
      <c r="F879" s="120"/>
    </row>
    <row r="880" spans="1:6" x14ac:dyDescent="0.3">
      <c r="A880" s="267" t="s">
        <v>284</v>
      </c>
      <c r="B880" s="268" t="s">
        <v>1</v>
      </c>
      <c r="C880" s="269" t="s">
        <v>2</v>
      </c>
      <c r="D880" s="270" t="s">
        <v>3</v>
      </c>
      <c r="E880" s="269" t="s">
        <v>4</v>
      </c>
      <c r="F880" s="271" t="s">
        <v>5</v>
      </c>
    </row>
    <row r="881" spans="1:6" x14ac:dyDescent="0.3">
      <c r="A881" s="183"/>
      <c r="B881" s="191"/>
      <c r="C881" s="192"/>
      <c r="D881" s="185"/>
      <c r="E881" s="259"/>
      <c r="F881" s="230"/>
    </row>
    <row r="882" spans="1:6" x14ac:dyDescent="0.3">
      <c r="A882" s="102"/>
      <c r="B882" s="123" t="s">
        <v>473</v>
      </c>
      <c r="C882" s="31"/>
      <c r="D882" s="102"/>
      <c r="E882" s="125"/>
      <c r="F882" s="134"/>
    </row>
    <row r="883" spans="1:6" x14ac:dyDescent="0.3">
      <c r="A883" s="102"/>
      <c r="B883" s="132"/>
      <c r="C883" s="31"/>
      <c r="D883" s="102"/>
      <c r="E883" s="125"/>
      <c r="F883" s="134"/>
    </row>
    <row r="884" spans="1:6" ht="27.6" x14ac:dyDescent="0.3">
      <c r="A884" s="31" t="s">
        <v>36</v>
      </c>
      <c r="B884" s="69" t="s">
        <v>452</v>
      </c>
      <c r="C884" s="31" t="s">
        <v>66</v>
      </c>
      <c r="D884" s="31">
        <v>40</v>
      </c>
      <c r="E884" s="140"/>
      <c r="F884" s="131">
        <f>D884*E884</f>
        <v>0</v>
      </c>
    </row>
    <row r="885" spans="1:6" x14ac:dyDescent="0.3">
      <c r="A885" s="102"/>
      <c r="B885" s="126"/>
      <c r="C885" s="31"/>
      <c r="D885" s="182"/>
      <c r="E885" s="125"/>
      <c r="F885" s="131">
        <f t="shared" ref="F885:F911" si="1">D885*E885</f>
        <v>0</v>
      </c>
    </row>
    <row r="886" spans="1:6" x14ac:dyDescent="0.3">
      <c r="A886" s="102" t="s">
        <v>39</v>
      </c>
      <c r="B886" s="126" t="s">
        <v>453</v>
      </c>
      <c r="C886" s="31" t="s">
        <v>66</v>
      </c>
      <c r="D886" s="102">
        <v>4</v>
      </c>
      <c r="E886" s="125"/>
      <c r="F886" s="131">
        <f>D886*E886</f>
        <v>0</v>
      </c>
    </row>
    <row r="887" spans="1:6" x14ac:dyDescent="0.3">
      <c r="A887" s="102"/>
      <c r="B887" s="126"/>
      <c r="C887" s="31"/>
      <c r="D887" s="102"/>
      <c r="E887" s="125"/>
      <c r="F887" s="131">
        <f t="shared" si="1"/>
        <v>0</v>
      </c>
    </row>
    <row r="888" spans="1:6" x14ac:dyDescent="0.3">
      <c r="A888" s="31" t="s">
        <v>40</v>
      </c>
      <c r="B888" s="69" t="s">
        <v>454</v>
      </c>
      <c r="C888" s="31" t="s">
        <v>66</v>
      </c>
      <c r="D888" s="31">
        <v>14</v>
      </c>
      <c r="E888" s="140"/>
      <c r="F888" s="131">
        <f>D888*E888</f>
        <v>0</v>
      </c>
    </row>
    <row r="889" spans="1:6" x14ac:dyDescent="0.3">
      <c r="A889" s="102"/>
      <c r="B889" s="132"/>
      <c r="C889" s="31"/>
      <c r="D889" s="102"/>
      <c r="E889" s="125"/>
      <c r="F889" s="131">
        <f t="shared" si="1"/>
        <v>0</v>
      </c>
    </row>
    <row r="890" spans="1:6" x14ac:dyDescent="0.3">
      <c r="A890" s="102" t="s">
        <v>44</v>
      </c>
      <c r="B890" s="126" t="s">
        <v>455</v>
      </c>
      <c r="C890" s="31" t="s">
        <v>66</v>
      </c>
      <c r="D890" s="182">
        <v>2</v>
      </c>
      <c r="E890" s="125"/>
      <c r="F890" s="131">
        <f>D890*E890</f>
        <v>0</v>
      </c>
    </row>
    <row r="891" spans="1:6" x14ac:dyDescent="0.3">
      <c r="A891" s="102"/>
      <c r="B891" s="126"/>
      <c r="C891" s="31"/>
      <c r="D891" s="102"/>
      <c r="E891" s="125"/>
      <c r="F891" s="131">
        <f t="shared" si="1"/>
        <v>0</v>
      </c>
    </row>
    <row r="892" spans="1:6" s="50" customFormat="1" ht="27.6" x14ac:dyDescent="0.3">
      <c r="A892" s="31" t="s">
        <v>46</v>
      </c>
      <c r="B892" s="69" t="s">
        <v>456</v>
      </c>
      <c r="C892" s="31" t="s">
        <v>66</v>
      </c>
      <c r="D892" s="31">
        <v>12</v>
      </c>
      <c r="E892" s="140"/>
      <c r="F892" s="131">
        <f>D892*E892</f>
        <v>0</v>
      </c>
    </row>
    <row r="893" spans="1:6" x14ac:dyDescent="0.3">
      <c r="A893" s="102"/>
      <c r="B893" s="126"/>
      <c r="C893" s="31"/>
      <c r="D893" s="102"/>
      <c r="E893" s="125"/>
      <c r="F893" s="131">
        <f t="shared" si="1"/>
        <v>0</v>
      </c>
    </row>
    <row r="894" spans="1:6" s="302" customFormat="1" ht="27.6" x14ac:dyDescent="0.3">
      <c r="A894" s="276" t="s">
        <v>48</v>
      </c>
      <c r="B894" s="299" t="s">
        <v>457</v>
      </c>
      <c r="C894" s="276" t="s">
        <v>66</v>
      </c>
      <c r="D894" s="276">
        <v>4</v>
      </c>
      <c r="E894" s="140"/>
      <c r="F894" s="131">
        <f>D894*E894</f>
        <v>0</v>
      </c>
    </row>
    <row r="895" spans="1:6" x14ac:dyDescent="0.3">
      <c r="A895" s="102"/>
      <c r="B895" s="126"/>
      <c r="C895" s="31"/>
      <c r="D895" s="102"/>
      <c r="E895" s="125"/>
      <c r="F895" s="131">
        <f t="shared" si="1"/>
        <v>0</v>
      </c>
    </row>
    <row r="896" spans="1:6" ht="55.2" x14ac:dyDescent="0.3">
      <c r="A896" s="31" t="s">
        <v>50</v>
      </c>
      <c r="B896" s="69" t="s">
        <v>440</v>
      </c>
      <c r="C896" s="31" t="s">
        <v>65</v>
      </c>
      <c r="D896" s="31">
        <v>8</v>
      </c>
      <c r="E896" s="140"/>
      <c r="F896" s="131">
        <f>D896*E896</f>
        <v>0</v>
      </c>
    </row>
    <row r="897" spans="1:6" x14ac:dyDescent="0.3">
      <c r="A897" s="102"/>
      <c r="B897" s="126"/>
      <c r="C897" s="31"/>
      <c r="D897" s="102"/>
      <c r="E897" s="125"/>
      <c r="F897" s="131">
        <f t="shared" si="1"/>
        <v>0</v>
      </c>
    </row>
    <row r="898" spans="1:6" ht="69" x14ac:dyDescent="0.3">
      <c r="A898" s="31" t="s">
        <v>51</v>
      </c>
      <c r="B898" s="69" t="s">
        <v>458</v>
      </c>
      <c r="C898" s="31" t="s">
        <v>65</v>
      </c>
      <c r="D898" s="31">
        <v>2</v>
      </c>
      <c r="E898" s="140"/>
      <c r="F898" s="131">
        <f>D898*E898</f>
        <v>0</v>
      </c>
    </row>
    <row r="899" spans="1:6" x14ac:dyDescent="0.3">
      <c r="A899" s="102"/>
      <c r="B899" s="126"/>
      <c r="C899" s="31"/>
      <c r="D899" s="102"/>
      <c r="E899" s="125"/>
      <c r="F899" s="131">
        <f t="shared" si="1"/>
        <v>0</v>
      </c>
    </row>
    <row r="900" spans="1:6" s="50" customFormat="1" ht="27.6" x14ac:dyDescent="0.3">
      <c r="A900" s="31" t="s">
        <v>55</v>
      </c>
      <c r="B900" s="69" t="s">
        <v>459</v>
      </c>
      <c r="C900" s="31" t="s">
        <v>65</v>
      </c>
      <c r="D900" s="31">
        <v>12</v>
      </c>
      <c r="E900" s="140"/>
      <c r="F900" s="131">
        <f>D900*E900</f>
        <v>0</v>
      </c>
    </row>
    <row r="901" spans="1:6" x14ac:dyDescent="0.3">
      <c r="A901" s="102"/>
      <c r="B901" s="126"/>
      <c r="C901" s="31"/>
      <c r="D901" s="102"/>
      <c r="E901" s="125"/>
      <c r="F901" s="131">
        <f t="shared" si="1"/>
        <v>0</v>
      </c>
    </row>
    <row r="902" spans="1:6" x14ac:dyDescent="0.3">
      <c r="A902" s="31" t="s">
        <v>70</v>
      </c>
      <c r="B902" s="69" t="s">
        <v>460</v>
      </c>
      <c r="C902" s="31" t="s">
        <v>66</v>
      </c>
      <c r="D902" s="31">
        <v>16</v>
      </c>
      <c r="E902" s="140"/>
      <c r="F902" s="131">
        <f>D902*E902</f>
        <v>0</v>
      </c>
    </row>
    <row r="903" spans="1:6" x14ac:dyDescent="0.3">
      <c r="A903" s="102"/>
      <c r="B903" s="126"/>
      <c r="C903" s="31"/>
      <c r="D903" s="102"/>
      <c r="E903" s="125"/>
      <c r="F903" s="131">
        <f t="shared" si="1"/>
        <v>0</v>
      </c>
    </row>
    <row r="904" spans="1:6" ht="55.2" x14ac:dyDescent="0.3">
      <c r="A904" s="31" t="s">
        <v>60</v>
      </c>
      <c r="B904" s="69" t="s">
        <v>448</v>
      </c>
      <c r="C904" s="31" t="s">
        <v>61</v>
      </c>
      <c r="D904" s="31">
        <v>2</v>
      </c>
      <c r="E904" s="140"/>
      <c r="F904" s="131">
        <f>D904*E904</f>
        <v>0</v>
      </c>
    </row>
    <row r="905" spans="1:6" x14ac:dyDescent="0.3">
      <c r="A905" s="102"/>
      <c r="B905" s="126"/>
      <c r="C905" s="31"/>
      <c r="D905" s="102"/>
      <c r="E905" s="125"/>
      <c r="F905" s="131">
        <f t="shared" si="1"/>
        <v>0</v>
      </c>
    </row>
    <row r="906" spans="1:6" ht="28.2" x14ac:dyDescent="0.3">
      <c r="A906" s="102" t="s">
        <v>90</v>
      </c>
      <c r="B906" s="19" t="s">
        <v>461</v>
      </c>
      <c r="C906" s="31" t="s">
        <v>61</v>
      </c>
      <c r="D906" s="102">
        <v>2</v>
      </c>
      <c r="E906" s="125"/>
      <c r="F906" s="131">
        <f>D906*E906</f>
        <v>0</v>
      </c>
    </row>
    <row r="907" spans="1:6" x14ac:dyDescent="0.3">
      <c r="A907" s="102"/>
      <c r="B907" s="126"/>
      <c r="C907" s="31"/>
      <c r="D907" s="102"/>
      <c r="E907" s="125"/>
      <c r="F907" s="131">
        <f>D907*E907</f>
        <v>0</v>
      </c>
    </row>
    <row r="908" spans="1:6" x14ac:dyDescent="0.3">
      <c r="A908" s="102" t="s">
        <v>93</v>
      </c>
      <c r="B908" s="126" t="s">
        <v>462</v>
      </c>
      <c r="C908" s="31" t="s">
        <v>65</v>
      </c>
      <c r="D908" s="102">
        <v>9</v>
      </c>
      <c r="E908" s="125"/>
      <c r="F908" s="131">
        <f>D908*E908</f>
        <v>0</v>
      </c>
    </row>
    <row r="909" spans="1:6" x14ac:dyDescent="0.3">
      <c r="A909" s="102"/>
      <c r="B909" s="126"/>
      <c r="C909" s="31"/>
      <c r="D909" s="102"/>
      <c r="E909" s="125"/>
      <c r="F909" s="131">
        <f t="shared" si="1"/>
        <v>0</v>
      </c>
    </row>
    <row r="910" spans="1:6" s="302" customFormat="1" ht="27.6" x14ac:dyDescent="0.3">
      <c r="A910" s="276" t="s">
        <v>95</v>
      </c>
      <c r="B910" s="299" t="s">
        <v>463</v>
      </c>
      <c r="C910" s="276" t="s">
        <v>52</v>
      </c>
      <c r="D910" s="276">
        <v>12</v>
      </c>
      <c r="E910" s="140"/>
      <c r="F910" s="131">
        <f>D910*E910</f>
        <v>0</v>
      </c>
    </row>
    <row r="911" spans="1:6" x14ac:dyDescent="0.3">
      <c r="A911" s="102"/>
      <c r="B911" s="126"/>
      <c r="C911" s="31"/>
      <c r="D911" s="102"/>
      <c r="E911" s="125"/>
      <c r="F911" s="131">
        <f t="shared" si="1"/>
        <v>0</v>
      </c>
    </row>
    <row r="912" spans="1:6" ht="28.2" x14ac:dyDescent="0.3">
      <c r="A912" s="102" t="s">
        <v>96</v>
      </c>
      <c r="B912" s="19" t="s">
        <v>464</v>
      </c>
      <c r="C912" s="31" t="s">
        <v>52</v>
      </c>
      <c r="D912" s="102">
        <v>12</v>
      </c>
      <c r="E912" s="125"/>
      <c r="F912" s="131">
        <f>D912*E912</f>
        <v>0</v>
      </c>
    </row>
    <row r="913" spans="1:6" x14ac:dyDescent="0.3">
      <c r="A913" s="183"/>
      <c r="B913" s="184"/>
      <c r="C913" s="138"/>
      <c r="D913" s="185"/>
      <c r="E913" s="259"/>
      <c r="F913" s="222" t="str">
        <f t="shared" ref="F913" si="2">IF(D913&gt;0,D913*E913,"")</f>
        <v/>
      </c>
    </row>
    <row r="914" spans="1:6" x14ac:dyDescent="0.3">
      <c r="A914" s="186"/>
      <c r="B914" s="187" t="s">
        <v>491</v>
      </c>
      <c r="C914" s="231"/>
      <c r="D914" s="189"/>
      <c r="E914" s="261" t="s">
        <v>43</v>
      </c>
      <c r="F914" s="232">
        <f>SUM(F884:F912)</f>
        <v>0</v>
      </c>
    </row>
    <row r="915" spans="1:6" x14ac:dyDescent="0.3">
      <c r="A915" s="322"/>
      <c r="B915" s="323"/>
      <c r="C915" s="323"/>
      <c r="D915" s="323"/>
      <c r="E915" s="323"/>
      <c r="F915" s="324"/>
    </row>
    <row r="916" spans="1:6" x14ac:dyDescent="0.3">
      <c r="A916" s="119"/>
      <c r="B916" s="323" t="s">
        <v>429</v>
      </c>
      <c r="C916" s="323"/>
      <c r="D916" s="323"/>
      <c r="E916" s="323"/>
      <c r="F916" s="120"/>
    </row>
    <row r="917" spans="1:6" x14ac:dyDescent="0.3">
      <c r="A917" s="119"/>
      <c r="B917" s="323" t="s">
        <v>465</v>
      </c>
      <c r="C917" s="323"/>
      <c r="D917" s="323"/>
      <c r="E917" s="323"/>
      <c r="F917" s="120"/>
    </row>
    <row r="918" spans="1:6" x14ac:dyDescent="0.3">
      <c r="A918" s="119"/>
      <c r="B918" s="325"/>
      <c r="C918" s="325"/>
      <c r="D918" s="325"/>
      <c r="E918" s="325"/>
      <c r="F918" s="120"/>
    </row>
    <row r="919" spans="1:6" x14ac:dyDescent="0.3">
      <c r="A919" s="267" t="s">
        <v>284</v>
      </c>
      <c r="B919" s="268" t="s">
        <v>1</v>
      </c>
      <c r="C919" s="269" t="s">
        <v>2</v>
      </c>
      <c r="D919" s="270" t="s">
        <v>3</v>
      </c>
      <c r="E919" s="269" t="s">
        <v>4</v>
      </c>
      <c r="F919" s="271" t="s">
        <v>5</v>
      </c>
    </row>
    <row r="920" spans="1:6" x14ac:dyDescent="0.3">
      <c r="A920" s="183"/>
      <c r="B920" s="184"/>
      <c r="C920" s="138"/>
      <c r="D920" s="185"/>
      <c r="E920" s="259"/>
      <c r="F920" s="222"/>
    </row>
    <row r="921" spans="1:6" x14ac:dyDescent="0.3">
      <c r="A921" s="122">
        <v>6</v>
      </c>
      <c r="B921" s="223" t="s">
        <v>465</v>
      </c>
      <c r="C921" s="31"/>
      <c r="D921" s="102"/>
      <c r="E921" s="102"/>
      <c r="F921" s="134"/>
    </row>
    <row r="922" spans="1:6" x14ac:dyDescent="0.3">
      <c r="A922" s="102"/>
      <c r="B922" s="126"/>
      <c r="C922" s="31"/>
      <c r="D922" s="102"/>
      <c r="E922" s="102"/>
      <c r="F922" s="134"/>
    </row>
    <row r="923" spans="1:6" x14ac:dyDescent="0.3">
      <c r="A923" s="102"/>
      <c r="B923" s="132" t="s">
        <v>490</v>
      </c>
      <c r="C923" s="31"/>
      <c r="D923" s="102"/>
      <c r="E923" s="102"/>
      <c r="F923" s="134"/>
    </row>
    <row r="924" spans="1:6" x14ac:dyDescent="0.3">
      <c r="A924" s="102"/>
      <c r="B924" s="126"/>
      <c r="C924" s="31"/>
      <c r="D924" s="102"/>
      <c r="E924" s="102"/>
      <c r="F924" s="134"/>
    </row>
    <row r="925" spans="1:6" ht="96.6" x14ac:dyDescent="0.3">
      <c r="A925" s="31" t="s">
        <v>36</v>
      </c>
      <c r="B925" s="69" t="s">
        <v>466</v>
      </c>
      <c r="C925" s="31" t="s">
        <v>52</v>
      </c>
      <c r="D925" s="31">
        <v>12</v>
      </c>
      <c r="E925" s="140"/>
      <c r="F925" s="131">
        <f>D925*E925</f>
        <v>0</v>
      </c>
    </row>
    <row r="926" spans="1:6" x14ac:dyDescent="0.3">
      <c r="A926" s="102"/>
      <c r="B926" s="126"/>
      <c r="C926" s="31"/>
      <c r="D926" s="102"/>
      <c r="E926" s="125"/>
      <c r="F926" s="134"/>
    </row>
    <row r="927" spans="1:6" ht="27.6" x14ac:dyDescent="0.3">
      <c r="A927" s="31" t="s">
        <v>39</v>
      </c>
      <c r="B927" s="69" t="s">
        <v>467</v>
      </c>
      <c r="C927" s="31" t="s">
        <v>66</v>
      </c>
      <c r="D927" s="31">
        <v>1</v>
      </c>
      <c r="E927" s="243"/>
      <c r="F927" s="131">
        <f>D927*E927</f>
        <v>0</v>
      </c>
    </row>
    <row r="928" spans="1:6" x14ac:dyDescent="0.3">
      <c r="A928" s="102"/>
      <c r="B928" s="126"/>
      <c r="C928" s="31"/>
      <c r="D928" s="102"/>
      <c r="E928" s="102"/>
      <c r="F928" s="134"/>
    </row>
    <row r="929" spans="1:6" ht="41.4" x14ac:dyDescent="0.3">
      <c r="A929" s="31" t="s">
        <v>40</v>
      </c>
      <c r="B929" s="69" t="s">
        <v>468</v>
      </c>
      <c r="C929" s="31" t="s">
        <v>52</v>
      </c>
      <c r="D929" s="31">
        <v>5</v>
      </c>
      <c r="E929" s="243"/>
      <c r="F929" s="131">
        <f>D929*E929</f>
        <v>0</v>
      </c>
    </row>
    <row r="930" spans="1:6" x14ac:dyDescent="0.3">
      <c r="A930" s="102"/>
      <c r="B930" s="126"/>
      <c r="C930" s="31"/>
      <c r="D930" s="102"/>
      <c r="E930" s="102"/>
      <c r="F930" s="134"/>
    </row>
    <row r="931" spans="1:6" ht="27.6" x14ac:dyDescent="0.3">
      <c r="A931" s="31" t="s">
        <v>44</v>
      </c>
      <c r="B931" s="69" t="s">
        <v>469</v>
      </c>
      <c r="C931" s="31" t="s">
        <v>52</v>
      </c>
      <c r="D931" s="31">
        <v>6</v>
      </c>
      <c r="E931" s="243"/>
      <c r="F931" s="131">
        <f>D931*E931</f>
        <v>0</v>
      </c>
    </row>
    <row r="932" spans="1:6" x14ac:dyDescent="0.3">
      <c r="A932" s="102"/>
      <c r="B932" s="126"/>
      <c r="C932" s="31"/>
      <c r="D932" s="102"/>
      <c r="E932" s="102"/>
      <c r="F932" s="134"/>
    </row>
    <row r="933" spans="1:6" s="50" customFormat="1" ht="27.6" x14ac:dyDescent="0.3">
      <c r="A933" s="31" t="s">
        <v>46</v>
      </c>
      <c r="B933" s="69" t="s">
        <v>470</v>
      </c>
      <c r="C933" s="31" t="s">
        <v>52</v>
      </c>
      <c r="D933" s="31">
        <v>6</v>
      </c>
      <c r="E933" s="243"/>
      <c r="F933" s="131">
        <f>D933*E933</f>
        <v>0</v>
      </c>
    </row>
    <row r="934" spans="1:6" x14ac:dyDescent="0.3">
      <c r="A934" s="102"/>
      <c r="B934" s="126"/>
      <c r="C934" s="31"/>
      <c r="D934" s="102"/>
      <c r="E934" s="102"/>
      <c r="F934" s="134"/>
    </row>
    <row r="935" spans="1:6" x14ac:dyDescent="0.3">
      <c r="A935" s="102"/>
      <c r="B935" s="132" t="s">
        <v>471</v>
      </c>
      <c r="C935" s="31"/>
      <c r="D935" s="102"/>
      <c r="E935" s="102"/>
      <c r="F935" s="134"/>
    </row>
    <row r="936" spans="1:6" x14ac:dyDescent="0.3">
      <c r="A936" s="102"/>
      <c r="B936" s="126"/>
      <c r="C936" s="31"/>
      <c r="D936" s="102"/>
      <c r="E936" s="102"/>
      <c r="F936" s="134"/>
    </row>
    <row r="937" spans="1:6" ht="110.4" x14ac:dyDescent="0.3">
      <c r="A937" s="31" t="s">
        <v>48</v>
      </c>
      <c r="B937" s="69" t="s">
        <v>472</v>
      </c>
      <c r="C937" s="31" t="s">
        <v>61</v>
      </c>
      <c r="D937" s="31">
        <v>1</v>
      </c>
      <c r="E937" s="243"/>
      <c r="F937" s="131">
        <f>D937*E937</f>
        <v>0</v>
      </c>
    </row>
    <row r="938" spans="1:6" x14ac:dyDescent="0.3">
      <c r="A938" s="183"/>
      <c r="B938" s="184"/>
      <c r="C938" s="138"/>
      <c r="D938" s="193"/>
      <c r="E938" s="259"/>
      <c r="F938" s="221" t="str">
        <f t="shared" ref="F938" si="3">IF(D938&gt;0,D938*E938,"")</f>
        <v/>
      </c>
    </row>
    <row r="939" spans="1:6" x14ac:dyDescent="0.3">
      <c r="A939" s="233"/>
      <c r="B939" s="235" t="s">
        <v>512</v>
      </c>
      <c r="C939" s="234"/>
      <c r="D939" s="253"/>
      <c r="E939" s="262" t="s">
        <v>43</v>
      </c>
      <c r="F939" s="254">
        <f>SUM(F924:F937)</f>
        <v>0</v>
      </c>
    </row>
    <row r="940" spans="1:6" x14ac:dyDescent="0.3">
      <c r="A940" s="317"/>
      <c r="B940" s="318"/>
      <c r="C940" s="318"/>
      <c r="D940" s="318"/>
      <c r="E940" s="318"/>
      <c r="F940" s="319"/>
    </row>
    <row r="941" spans="1:6" x14ac:dyDescent="0.3">
      <c r="A941" s="119"/>
      <c r="B941" s="320" t="s">
        <v>495</v>
      </c>
      <c r="C941" s="320"/>
      <c r="D941" s="320"/>
      <c r="E941" s="320"/>
      <c r="F941" s="120"/>
    </row>
    <row r="942" spans="1:6" x14ac:dyDescent="0.3">
      <c r="A942" s="119"/>
      <c r="B942" s="320" t="s">
        <v>496</v>
      </c>
      <c r="C942" s="320"/>
      <c r="D942" s="320"/>
      <c r="E942" s="320"/>
      <c r="F942" s="120"/>
    </row>
    <row r="943" spans="1:6" x14ac:dyDescent="0.3">
      <c r="A943" s="255"/>
      <c r="B943" s="321"/>
      <c r="C943" s="321"/>
      <c r="D943" s="321"/>
      <c r="E943" s="321"/>
      <c r="F943" s="256"/>
    </row>
    <row r="944" spans="1:6" x14ac:dyDescent="0.3">
      <c r="A944" s="267" t="s">
        <v>284</v>
      </c>
      <c r="B944" s="268" t="s">
        <v>1</v>
      </c>
      <c r="C944" s="269" t="s">
        <v>2</v>
      </c>
      <c r="D944" s="270" t="s">
        <v>3</v>
      </c>
      <c r="E944" s="269" t="s">
        <v>4</v>
      </c>
      <c r="F944" s="271" t="s">
        <v>5</v>
      </c>
    </row>
    <row r="945" spans="1:6" x14ac:dyDescent="0.3">
      <c r="A945" s="243"/>
      <c r="B945" s="240"/>
      <c r="C945" s="244"/>
      <c r="D945" s="241"/>
      <c r="E945" s="75"/>
      <c r="F945" s="244"/>
    </row>
    <row r="946" spans="1:6" x14ac:dyDescent="0.3">
      <c r="A946" s="252">
        <v>7</v>
      </c>
      <c r="B946" s="245" t="s">
        <v>496</v>
      </c>
      <c r="C946" s="244"/>
      <c r="D946" s="241"/>
      <c r="E946" s="75"/>
      <c r="F946" s="244"/>
    </row>
    <row r="947" spans="1:6" x14ac:dyDescent="0.3">
      <c r="A947" s="243"/>
      <c r="B947" s="240"/>
      <c r="C947" s="244"/>
      <c r="D947" s="241"/>
      <c r="E947" s="75"/>
      <c r="F947" s="244"/>
    </row>
    <row r="948" spans="1:6" x14ac:dyDescent="0.3">
      <c r="A948" s="243"/>
      <c r="B948" s="247" t="s">
        <v>497</v>
      </c>
      <c r="C948" s="244"/>
      <c r="D948" s="241"/>
      <c r="E948" s="75"/>
      <c r="F948" s="244"/>
    </row>
    <row r="949" spans="1:6" x14ac:dyDescent="0.3">
      <c r="A949" s="243"/>
      <c r="B949" s="240"/>
      <c r="C949" s="244"/>
      <c r="D949" s="241"/>
      <c r="E949" s="75"/>
      <c r="F949" s="244"/>
    </row>
    <row r="950" spans="1:6" ht="42" x14ac:dyDescent="0.3">
      <c r="A950" s="243" t="s">
        <v>36</v>
      </c>
      <c r="B950" s="240" t="s">
        <v>498</v>
      </c>
      <c r="C950" s="250" t="s">
        <v>66</v>
      </c>
      <c r="D950" s="251">
        <v>12</v>
      </c>
      <c r="E950" s="76"/>
      <c r="F950" s="131">
        <f>D950*E950</f>
        <v>0</v>
      </c>
    </row>
    <row r="951" spans="1:6" x14ac:dyDescent="0.3">
      <c r="A951" s="243"/>
      <c r="B951" s="240"/>
      <c r="C951" s="244"/>
      <c r="D951" s="241"/>
      <c r="E951" s="75"/>
      <c r="F951" s="244"/>
    </row>
    <row r="952" spans="1:6" ht="28.2" x14ac:dyDescent="0.3">
      <c r="A952" s="243"/>
      <c r="B952" s="247" t="s">
        <v>499</v>
      </c>
      <c r="C952" s="244">
        <v>0</v>
      </c>
      <c r="D952" s="241"/>
      <c r="E952" s="75"/>
      <c r="F952" s="244"/>
    </row>
    <row r="953" spans="1:6" x14ac:dyDescent="0.3">
      <c r="A953" s="243"/>
      <c r="B953" s="240"/>
      <c r="C953" s="244"/>
      <c r="D953" s="241"/>
      <c r="E953" s="75"/>
      <c r="F953" s="244"/>
    </row>
    <row r="954" spans="1:6" ht="41.4" x14ac:dyDescent="0.3">
      <c r="A954" s="243" t="s">
        <v>39</v>
      </c>
      <c r="B954" s="249" t="s">
        <v>45</v>
      </c>
      <c r="C954" s="250" t="s">
        <v>65</v>
      </c>
      <c r="D954" s="251">
        <v>12</v>
      </c>
      <c r="E954" s="76"/>
      <c r="F954" s="131">
        <f>D954*E954</f>
        <v>0</v>
      </c>
    </row>
    <row r="955" spans="1:6" x14ac:dyDescent="0.3">
      <c r="A955" s="243"/>
      <c r="B955" s="240"/>
      <c r="C955" s="244"/>
      <c r="D955" s="241"/>
      <c r="E955" s="75"/>
      <c r="F955" s="244"/>
    </row>
    <row r="956" spans="1:6" x14ac:dyDescent="0.3">
      <c r="A956" s="243"/>
      <c r="B956" s="246" t="s">
        <v>500</v>
      </c>
      <c r="C956" s="244"/>
      <c r="D956" s="241"/>
      <c r="E956" s="75"/>
      <c r="F956" s="244"/>
    </row>
    <row r="957" spans="1:6" x14ac:dyDescent="0.3">
      <c r="A957" s="243"/>
      <c r="B957" s="240"/>
      <c r="C957" s="244"/>
      <c r="D957" s="241"/>
      <c r="E957" s="75"/>
      <c r="F957" s="244"/>
    </row>
    <row r="958" spans="1:6" x14ac:dyDescent="0.3">
      <c r="A958" s="243" t="s">
        <v>40</v>
      </c>
      <c r="B958" s="240" t="s">
        <v>501</v>
      </c>
      <c r="C958" s="250" t="s">
        <v>66</v>
      </c>
      <c r="D958" s="241">
        <v>5</v>
      </c>
      <c r="E958" s="75"/>
      <c r="F958" s="131">
        <f>D958*E958</f>
        <v>0</v>
      </c>
    </row>
    <row r="959" spans="1:6" x14ac:dyDescent="0.3">
      <c r="A959" s="243"/>
      <c r="B959" s="240"/>
      <c r="C959" s="244"/>
      <c r="D959" s="241"/>
      <c r="E959" s="75"/>
      <c r="F959" s="244"/>
    </row>
    <row r="960" spans="1:6" ht="42" x14ac:dyDescent="0.3">
      <c r="A960" s="243"/>
      <c r="B960" s="246" t="s">
        <v>47</v>
      </c>
      <c r="C960" s="244"/>
      <c r="D960" s="241"/>
      <c r="E960" s="75"/>
      <c r="F960" s="244"/>
    </row>
    <row r="961" spans="1:6" x14ac:dyDescent="0.3">
      <c r="A961" s="276"/>
      <c r="B961" s="272"/>
      <c r="C961" s="277"/>
      <c r="D961" s="273"/>
      <c r="E961" s="75"/>
      <c r="F961" s="277"/>
    </row>
    <row r="962" spans="1:6" ht="41.4" x14ac:dyDescent="0.3">
      <c r="A962" s="276" t="s">
        <v>44</v>
      </c>
      <c r="B962" s="299" t="s">
        <v>49</v>
      </c>
      <c r="C962" s="300" t="s">
        <v>66</v>
      </c>
      <c r="D962" s="301">
        <v>7</v>
      </c>
      <c r="E962" s="76"/>
      <c r="F962" s="131">
        <f>D962*E962</f>
        <v>0</v>
      </c>
    </row>
    <row r="963" spans="1:6" x14ac:dyDescent="0.3">
      <c r="A963" s="276"/>
      <c r="B963" s="272"/>
      <c r="C963" s="277"/>
      <c r="D963" s="273"/>
      <c r="E963" s="75"/>
      <c r="F963" s="277"/>
    </row>
    <row r="964" spans="1:6" x14ac:dyDescent="0.3">
      <c r="A964" s="276"/>
      <c r="B964" s="279" t="s">
        <v>502</v>
      </c>
      <c r="C964" s="277"/>
      <c r="D964" s="273"/>
      <c r="E964" s="75"/>
      <c r="F964" s="277"/>
    </row>
    <row r="965" spans="1:6" x14ac:dyDescent="0.3">
      <c r="A965" s="276"/>
      <c r="B965" s="272"/>
      <c r="C965" s="277"/>
      <c r="D965" s="273"/>
      <c r="E965" s="75"/>
      <c r="F965" s="277"/>
    </row>
    <row r="966" spans="1:6" ht="55.2" x14ac:dyDescent="0.3">
      <c r="A966" s="276" t="s">
        <v>46</v>
      </c>
      <c r="B966" s="299" t="s">
        <v>89</v>
      </c>
      <c r="C966" s="300" t="s">
        <v>38</v>
      </c>
      <c r="D966" s="301">
        <v>1</v>
      </c>
      <c r="E966" s="76"/>
      <c r="F966" s="131">
        <f>D966*E966</f>
        <v>0</v>
      </c>
    </row>
    <row r="967" spans="1:6" x14ac:dyDescent="0.3">
      <c r="A967" s="276"/>
      <c r="B967" s="272"/>
      <c r="C967" s="277"/>
      <c r="D967" s="273"/>
      <c r="E967" s="75"/>
      <c r="F967" s="277"/>
    </row>
    <row r="968" spans="1:6" x14ac:dyDescent="0.3">
      <c r="A968" s="276"/>
      <c r="B968" s="279" t="s">
        <v>295</v>
      </c>
      <c r="C968" s="277"/>
      <c r="D968" s="273"/>
      <c r="E968" s="75"/>
      <c r="F968" s="277"/>
    </row>
    <row r="969" spans="1:6" x14ac:dyDescent="0.3">
      <c r="A969" s="276"/>
      <c r="B969" s="272"/>
      <c r="C969" s="277"/>
      <c r="D969" s="273"/>
      <c r="E969" s="75"/>
      <c r="F969" s="277"/>
    </row>
    <row r="970" spans="1:6" ht="42" x14ac:dyDescent="0.3">
      <c r="A970" s="276" t="s">
        <v>48</v>
      </c>
      <c r="B970" s="272" t="s">
        <v>296</v>
      </c>
      <c r="C970" s="300" t="s">
        <v>38</v>
      </c>
      <c r="D970" s="301">
        <v>1</v>
      </c>
      <c r="E970" s="76"/>
      <c r="F970" s="131">
        <f>D970*E970</f>
        <v>0</v>
      </c>
    </row>
    <row r="971" spans="1:6" x14ac:dyDescent="0.3">
      <c r="A971" s="276"/>
      <c r="B971" s="272"/>
      <c r="C971" s="277"/>
      <c r="D971" s="273"/>
      <c r="E971" s="75"/>
      <c r="F971" s="277"/>
    </row>
    <row r="972" spans="1:6" ht="27.6" x14ac:dyDescent="0.3">
      <c r="A972" s="281"/>
      <c r="B972" s="268" t="s">
        <v>510</v>
      </c>
      <c r="C972" s="282"/>
      <c r="D972" s="283"/>
      <c r="E972" s="274" t="s">
        <v>43</v>
      </c>
      <c r="F972" s="284">
        <f>SUM(F948:F970)</f>
        <v>0</v>
      </c>
    </row>
    <row r="973" spans="1:6" x14ac:dyDescent="0.3">
      <c r="A973" s="94"/>
      <c r="B973" s="116"/>
      <c r="C973" s="97"/>
      <c r="D973" s="97"/>
      <c r="E973" s="96"/>
      <c r="F973" s="117"/>
    </row>
    <row r="974" spans="1:6" x14ac:dyDescent="0.3">
      <c r="A974" s="315"/>
      <c r="B974" s="278" t="s">
        <v>57</v>
      </c>
      <c r="C974" s="277"/>
      <c r="D974" s="277"/>
      <c r="E974" s="75"/>
      <c r="F974" s="277"/>
    </row>
    <row r="975" spans="1:6" x14ac:dyDescent="0.3">
      <c r="A975" s="276"/>
      <c r="B975" s="272"/>
      <c r="C975" s="277"/>
      <c r="D975" s="277"/>
      <c r="E975" s="75"/>
      <c r="F975" s="277"/>
    </row>
    <row r="976" spans="1:6" x14ac:dyDescent="0.3">
      <c r="A976" s="276"/>
      <c r="B976" s="279" t="s">
        <v>503</v>
      </c>
      <c r="C976" s="277"/>
      <c r="D976" s="277"/>
      <c r="E976" s="75"/>
      <c r="F976" s="277"/>
    </row>
    <row r="977" spans="1:6" x14ac:dyDescent="0.3">
      <c r="A977" s="276"/>
      <c r="B977" s="264"/>
      <c r="C977" s="277"/>
      <c r="D977" s="277"/>
      <c r="E977" s="75"/>
      <c r="F977" s="277"/>
    </row>
    <row r="978" spans="1:6" x14ac:dyDescent="0.3">
      <c r="A978" s="276"/>
      <c r="B978" s="88" t="s">
        <v>99</v>
      </c>
      <c r="C978" s="300"/>
      <c r="D978" s="300"/>
      <c r="E978" s="76"/>
      <c r="F978" s="300"/>
    </row>
    <row r="979" spans="1:6" x14ac:dyDescent="0.3">
      <c r="A979" s="276"/>
      <c r="B979" s="272"/>
      <c r="C979" s="277"/>
      <c r="D979" s="273"/>
      <c r="E979" s="75"/>
      <c r="F979" s="277"/>
    </row>
    <row r="980" spans="1:6" x14ac:dyDescent="0.3">
      <c r="A980" s="276" t="s">
        <v>36</v>
      </c>
      <c r="B980" s="272" t="s">
        <v>101</v>
      </c>
      <c r="C980" s="300" t="s">
        <v>66</v>
      </c>
      <c r="D980" s="273">
        <v>0.60000000000000009</v>
      </c>
      <c r="E980" s="75"/>
      <c r="F980" s="131">
        <f>D980*E980</f>
        <v>0</v>
      </c>
    </row>
    <row r="981" spans="1:6" x14ac:dyDescent="0.3">
      <c r="A981" s="276"/>
      <c r="B981" s="272"/>
      <c r="C981" s="300"/>
      <c r="D981" s="273"/>
      <c r="E981" s="75"/>
      <c r="F981" s="277"/>
    </row>
    <row r="982" spans="1:6" ht="42" x14ac:dyDescent="0.3">
      <c r="A982" s="276"/>
      <c r="B982" s="279" t="s">
        <v>58</v>
      </c>
      <c r="C982" s="300"/>
      <c r="D982" s="273"/>
      <c r="E982" s="75"/>
      <c r="F982" s="277"/>
    </row>
    <row r="983" spans="1:6" x14ac:dyDescent="0.3">
      <c r="A983" s="276"/>
      <c r="B983" s="272"/>
      <c r="C983" s="300"/>
      <c r="D983" s="273"/>
      <c r="E983" s="75"/>
      <c r="F983" s="277"/>
    </row>
    <row r="984" spans="1:6" x14ac:dyDescent="0.3">
      <c r="A984" s="276" t="s">
        <v>39</v>
      </c>
      <c r="B984" s="272" t="s">
        <v>504</v>
      </c>
      <c r="C984" s="300" t="s">
        <v>66</v>
      </c>
      <c r="D984" s="273">
        <v>5</v>
      </c>
      <c r="E984" s="75"/>
      <c r="F984" s="131">
        <f>D984*E984</f>
        <v>0</v>
      </c>
    </row>
    <row r="985" spans="1:6" x14ac:dyDescent="0.3">
      <c r="A985" s="276"/>
      <c r="B985" s="272"/>
      <c r="C985" s="300"/>
      <c r="D985" s="273"/>
      <c r="E985" s="75"/>
      <c r="F985" s="277"/>
    </row>
    <row r="986" spans="1:6" x14ac:dyDescent="0.3">
      <c r="A986" s="276" t="s">
        <v>40</v>
      </c>
      <c r="B986" s="272" t="s">
        <v>505</v>
      </c>
      <c r="C986" s="277" t="s">
        <v>66</v>
      </c>
      <c r="D986" s="273">
        <v>0.6</v>
      </c>
      <c r="E986" s="75"/>
      <c r="F986" s="131">
        <f>D986*E986</f>
        <v>0</v>
      </c>
    </row>
    <row r="987" spans="1:6" x14ac:dyDescent="0.3">
      <c r="A987" s="276"/>
      <c r="B987" s="272"/>
      <c r="C987" s="277"/>
      <c r="D987" s="273"/>
      <c r="E987" s="75"/>
      <c r="F987" s="277"/>
    </row>
    <row r="988" spans="1:6" x14ac:dyDescent="0.3">
      <c r="A988" s="276"/>
      <c r="B988" s="279" t="s">
        <v>59</v>
      </c>
      <c r="C988" s="277"/>
      <c r="D988" s="273"/>
      <c r="E988" s="75"/>
      <c r="F988" s="277"/>
    </row>
    <row r="989" spans="1:6" x14ac:dyDescent="0.3">
      <c r="A989" s="276"/>
      <c r="B989" s="272"/>
      <c r="C989" s="277"/>
      <c r="D989" s="273"/>
      <c r="E989" s="75"/>
      <c r="F989" s="277"/>
    </row>
    <row r="990" spans="1:6" x14ac:dyDescent="0.3">
      <c r="A990" s="276" t="s">
        <v>44</v>
      </c>
      <c r="B990" s="272" t="s">
        <v>506</v>
      </c>
      <c r="C990" s="277" t="s">
        <v>65</v>
      </c>
      <c r="D990" s="273">
        <v>4</v>
      </c>
      <c r="E990" s="75"/>
      <c r="F990" s="131">
        <f>D990*E990</f>
        <v>0</v>
      </c>
    </row>
    <row r="991" spans="1:6" x14ac:dyDescent="0.3">
      <c r="A991" s="276"/>
      <c r="B991" s="272"/>
      <c r="C991" s="277"/>
      <c r="D991" s="273"/>
      <c r="E991" s="75"/>
      <c r="F991" s="277"/>
    </row>
    <row r="992" spans="1:6" x14ac:dyDescent="0.3">
      <c r="A992" s="276"/>
      <c r="B992" s="280" t="s">
        <v>507</v>
      </c>
      <c r="C992" s="277"/>
      <c r="D992" s="273"/>
      <c r="E992" s="75"/>
      <c r="F992" s="277"/>
    </row>
    <row r="993" spans="1:6" x14ac:dyDescent="0.3">
      <c r="A993" s="276"/>
      <c r="B993" s="272"/>
      <c r="C993" s="277"/>
      <c r="D993" s="273"/>
      <c r="E993" s="75"/>
      <c r="F993" s="277"/>
    </row>
    <row r="994" spans="1:6" ht="41.4" x14ac:dyDescent="0.3">
      <c r="A994" s="276"/>
      <c r="B994" s="303" t="s">
        <v>68</v>
      </c>
      <c r="C994" s="300"/>
      <c r="D994" s="301"/>
      <c r="E994" s="76"/>
      <c r="F994" s="300"/>
    </row>
    <row r="995" spans="1:6" x14ac:dyDescent="0.3">
      <c r="A995" s="276"/>
      <c r="B995" s="292"/>
      <c r="C995" s="293"/>
      <c r="D995" s="273"/>
      <c r="E995" s="75"/>
      <c r="F995" s="277"/>
    </row>
    <row r="996" spans="1:6" x14ac:dyDescent="0.3">
      <c r="A996" s="276" t="s">
        <v>46</v>
      </c>
      <c r="B996" s="292" t="s">
        <v>118</v>
      </c>
      <c r="C996" s="305" t="s">
        <v>69</v>
      </c>
      <c r="D996" s="301">
        <v>15</v>
      </c>
      <c r="E996" s="76"/>
      <c r="F996" s="131">
        <f>D996*E996</f>
        <v>0</v>
      </c>
    </row>
    <row r="997" spans="1:6" x14ac:dyDescent="0.3">
      <c r="A997" s="276"/>
      <c r="B997" s="292"/>
      <c r="C997" s="293"/>
      <c r="D997" s="273"/>
      <c r="E997" s="75"/>
      <c r="F997" s="277"/>
    </row>
    <row r="998" spans="1:6" ht="27.6" x14ac:dyDescent="0.3">
      <c r="A998" s="276" t="s">
        <v>48</v>
      </c>
      <c r="B998" s="304" t="s">
        <v>508</v>
      </c>
      <c r="C998" s="305" t="s">
        <v>69</v>
      </c>
      <c r="D998" s="301">
        <v>118</v>
      </c>
      <c r="E998" s="76"/>
      <c r="F998" s="131">
        <f>D998*E998</f>
        <v>0</v>
      </c>
    </row>
    <row r="999" spans="1:6" x14ac:dyDescent="0.3">
      <c r="A999" s="276"/>
      <c r="B999" s="292"/>
      <c r="C999" s="293"/>
      <c r="D999" s="273"/>
      <c r="E999" s="75"/>
      <c r="F999" s="277"/>
    </row>
    <row r="1000" spans="1:6" ht="27.6" x14ac:dyDescent="0.3">
      <c r="A1000" s="276" t="s">
        <v>50</v>
      </c>
      <c r="B1000" s="304" t="s">
        <v>509</v>
      </c>
      <c r="C1000" s="305" t="s">
        <v>69</v>
      </c>
      <c r="D1000" s="301">
        <v>57</v>
      </c>
      <c r="E1000" s="76"/>
      <c r="F1000" s="131">
        <f>D1000*E1000</f>
        <v>0</v>
      </c>
    </row>
    <row r="1001" spans="1:6" x14ac:dyDescent="0.3">
      <c r="A1001" s="276"/>
      <c r="B1001" s="304"/>
      <c r="C1001" s="305"/>
      <c r="D1001" s="301"/>
      <c r="E1001" s="76"/>
      <c r="F1001" s="300"/>
    </row>
    <row r="1002" spans="1:6" x14ac:dyDescent="0.3">
      <c r="A1002" s="276"/>
      <c r="B1002" s="195" t="s">
        <v>129</v>
      </c>
      <c r="C1002" s="305"/>
      <c r="D1002" s="301"/>
      <c r="E1002" s="76"/>
      <c r="F1002" s="300"/>
    </row>
    <row r="1003" spans="1:6" x14ac:dyDescent="0.3">
      <c r="A1003" s="276"/>
      <c r="B1003" s="304"/>
      <c r="C1003" s="305"/>
      <c r="D1003" s="301"/>
      <c r="E1003" s="76"/>
      <c r="F1003" s="300"/>
    </row>
    <row r="1004" spans="1:6" ht="41.4" x14ac:dyDescent="0.3">
      <c r="A1004" s="276" t="s">
        <v>51</v>
      </c>
      <c r="B1004" s="304" t="s">
        <v>131</v>
      </c>
      <c r="C1004" s="305" t="s">
        <v>61</v>
      </c>
      <c r="D1004" s="301">
        <v>16</v>
      </c>
      <c r="E1004" s="76"/>
      <c r="F1004" s="131">
        <f>D1004*E1004</f>
        <v>0</v>
      </c>
    </row>
    <row r="1005" spans="1:6" x14ac:dyDescent="0.3">
      <c r="A1005" s="276"/>
      <c r="B1005" s="304"/>
      <c r="C1005" s="305"/>
      <c r="D1005" s="301"/>
      <c r="E1005" s="76"/>
      <c r="F1005" s="300"/>
    </row>
    <row r="1006" spans="1:6" x14ac:dyDescent="0.3">
      <c r="A1006" s="276"/>
      <c r="B1006" s="280" t="s">
        <v>53</v>
      </c>
      <c r="C1006" s="277"/>
      <c r="D1006" s="273"/>
      <c r="E1006" s="75"/>
      <c r="F1006" s="277"/>
    </row>
    <row r="1007" spans="1:6" x14ac:dyDescent="0.3">
      <c r="A1007" s="276"/>
      <c r="B1007" s="280"/>
      <c r="C1007" s="277"/>
      <c r="D1007" s="273"/>
      <c r="E1007" s="75"/>
      <c r="F1007" s="277"/>
    </row>
    <row r="1008" spans="1:6" ht="27.6" x14ac:dyDescent="0.3">
      <c r="A1008" s="276" t="s">
        <v>55</v>
      </c>
      <c r="B1008" s="299" t="s">
        <v>54</v>
      </c>
      <c r="C1008" s="300" t="s">
        <v>38</v>
      </c>
      <c r="D1008" s="301">
        <v>1</v>
      </c>
      <c r="E1008" s="76"/>
      <c r="F1008" s="131">
        <f>D1008*E1008</f>
        <v>0</v>
      </c>
    </row>
    <row r="1009" spans="1:6" x14ac:dyDescent="0.3">
      <c r="A1009" s="276"/>
      <c r="B1009" s="272"/>
      <c r="C1009" s="277"/>
      <c r="D1009" s="273"/>
      <c r="E1009" s="75"/>
      <c r="F1009" s="277"/>
    </row>
    <row r="1010" spans="1:6" x14ac:dyDescent="0.3">
      <c r="A1010" s="281"/>
      <c r="B1010" s="294" t="s">
        <v>511</v>
      </c>
      <c r="C1010" s="295"/>
      <c r="D1010" s="296"/>
      <c r="E1010" s="85" t="s">
        <v>43</v>
      </c>
      <c r="F1010" s="297">
        <f>SUM(F979:F1008)</f>
        <v>0</v>
      </c>
    </row>
    <row r="1011" spans="1:6" x14ac:dyDescent="0.3">
      <c r="A1011" s="94"/>
      <c r="B1011" s="116"/>
      <c r="C1011" s="97"/>
      <c r="D1011" s="97"/>
      <c r="E1011" s="96"/>
      <c r="F1011" s="117"/>
    </row>
    <row r="1012" spans="1:6" s="236" customFormat="1" x14ac:dyDescent="0.3">
      <c r="A1012" s="71"/>
      <c r="B1012" s="278" t="s">
        <v>177</v>
      </c>
      <c r="C1012" s="75"/>
      <c r="D1012" s="75"/>
      <c r="E1012" s="75"/>
      <c r="F1012" s="277"/>
    </row>
    <row r="1013" spans="1:6" s="236" customFormat="1" x14ac:dyDescent="0.3">
      <c r="A1013" s="276"/>
      <c r="B1013" s="272"/>
      <c r="C1013" s="75"/>
      <c r="D1013" s="68"/>
      <c r="E1013" s="75"/>
      <c r="F1013" s="277"/>
    </row>
    <row r="1014" spans="1:6" s="236" customFormat="1" ht="69.599999999999994" x14ac:dyDescent="0.3">
      <c r="A1014" s="276"/>
      <c r="B1014" s="279" t="s">
        <v>193</v>
      </c>
      <c r="C1014" s="75"/>
      <c r="D1014" s="68"/>
      <c r="E1014" s="75"/>
      <c r="F1014" s="277"/>
    </row>
    <row r="1015" spans="1:6" s="236" customFormat="1" x14ac:dyDescent="0.3">
      <c r="A1015" s="276"/>
      <c r="B1015" s="263"/>
      <c r="C1015" s="75"/>
      <c r="D1015" s="68"/>
      <c r="E1015" s="75"/>
      <c r="F1015" s="277"/>
    </row>
    <row r="1016" spans="1:6" s="302" customFormat="1" ht="27.6" x14ac:dyDescent="0.3">
      <c r="A1016" s="276" t="s">
        <v>36</v>
      </c>
      <c r="B1016" s="299" t="s">
        <v>521</v>
      </c>
      <c r="C1016" s="76" t="s">
        <v>142</v>
      </c>
      <c r="D1016" s="197">
        <v>153</v>
      </c>
      <c r="E1016" s="76"/>
      <c r="F1016" s="131">
        <f>D1016*E1016</f>
        <v>0</v>
      </c>
    </row>
    <row r="1017" spans="1:6" s="236" customFormat="1" x14ac:dyDescent="0.3">
      <c r="A1017" s="276"/>
      <c r="B1017" s="272"/>
      <c r="C1017" s="75"/>
      <c r="D1017" s="68"/>
      <c r="E1017" s="75"/>
      <c r="F1017" s="277"/>
    </row>
    <row r="1018" spans="1:6" s="236" customFormat="1" ht="27.6" x14ac:dyDescent="0.3">
      <c r="A1018" s="276" t="s">
        <v>39</v>
      </c>
      <c r="B1018" s="299" t="s">
        <v>522</v>
      </c>
      <c r="C1018" s="75" t="s">
        <v>142</v>
      </c>
      <c r="D1018" s="68">
        <v>433</v>
      </c>
      <c r="E1018" s="75"/>
      <c r="F1018" s="131">
        <f>D1018*E1018</f>
        <v>0</v>
      </c>
    </row>
    <row r="1019" spans="1:6" s="236" customFormat="1" x14ac:dyDescent="0.3">
      <c r="A1019" s="276"/>
      <c r="B1019" s="272"/>
      <c r="C1019" s="75"/>
      <c r="D1019" s="68"/>
      <c r="E1019" s="75"/>
      <c r="F1019" s="277"/>
    </row>
    <row r="1020" spans="1:6" s="236" customFormat="1" ht="28.2" x14ac:dyDescent="0.3">
      <c r="A1020" s="276" t="s">
        <v>40</v>
      </c>
      <c r="B1020" s="272" t="s">
        <v>523</v>
      </c>
      <c r="C1020" s="75" t="s">
        <v>142</v>
      </c>
      <c r="D1020" s="68">
        <v>198</v>
      </c>
      <c r="E1020" s="75"/>
      <c r="F1020" s="131">
        <f>D1020*E1020</f>
        <v>0</v>
      </c>
    </row>
    <row r="1021" spans="1:6" s="236" customFormat="1" x14ac:dyDescent="0.3">
      <c r="A1021" s="276"/>
      <c r="B1021" s="272"/>
      <c r="C1021" s="75"/>
      <c r="D1021" s="68"/>
      <c r="E1021" s="75"/>
      <c r="F1021" s="277"/>
    </row>
    <row r="1022" spans="1:6" s="236" customFormat="1" x14ac:dyDescent="0.3">
      <c r="A1022" s="276" t="s">
        <v>44</v>
      </c>
      <c r="B1022" s="299" t="s">
        <v>524</v>
      </c>
      <c r="C1022" s="76" t="s">
        <v>142</v>
      </c>
      <c r="D1022" s="197">
        <v>135</v>
      </c>
      <c r="E1022" s="76"/>
      <c r="F1022" s="131">
        <f>D1022*E1022</f>
        <v>0</v>
      </c>
    </row>
    <row r="1023" spans="1:6" s="236" customFormat="1" x14ac:dyDescent="0.3">
      <c r="A1023" s="276"/>
      <c r="B1023" s="299"/>
      <c r="C1023" s="76"/>
      <c r="D1023" s="197"/>
      <c r="E1023" s="76"/>
      <c r="F1023" s="300"/>
    </row>
    <row r="1024" spans="1:6" s="236" customFormat="1" x14ac:dyDescent="0.3">
      <c r="A1024" s="276" t="s">
        <v>46</v>
      </c>
      <c r="B1024" s="272" t="s">
        <v>525</v>
      </c>
      <c r="C1024" s="76" t="s">
        <v>142</v>
      </c>
      <c r="D1024" s="197">
        <v>178</v>
      </c>
      <c r="E1024" s="76"/>
      <c r="F1024" s="131">
        <f>D1024*E1024</f>
        <v>0</v>
      </c>
    </row>
    <row r="1025" spans="1:6" s="236" customFormat="1" x14ac:dyDescent="0.3">
      <c r="A1025" s="276"/>
      <c r="B1025" s="272"/>
      <c r="C1025" s="75"/>
      <c r="D1025" s="68"/>
      <c r="E1025" s="75"/>
      <c r="F1025" s="277"/>
    </row>
    <row r="1026" spans="1:6" s="236" customFormat="1" x14ac:dyDescent="0.3">
      <c r="A1026" s="276" t="s">
        <v>48</v>
      </c>
      <c r="B1026" s="272" t="s">
        <v>526</v>
      </c>
      <c r="C1026" s="76" t="s">
        <v>142</v>
      </c>
      <c r="D1026" s="197">
        <v>98</v>
      </c>
      <c r="E1026" s="76"/>
      <c r="F1026" s="131">
        <f>D1026*E1026</f>
        <v>0</v>
      </c>
    </row>
    <row r="1027" spans="1:6" s="236" customFormat="1" x14ac:dyDescent="0.3">
      <c r="A1027" s="276"/>
      <c r="B1027" s="272"/>
      <c r="C1027" s="75"/>
      <c r="D1027" s="68"/>
      <c r="E1027" s="75"/>
      <c r="F1027" s="277"/>
    </row>
    <row r="1028" spans="1:6" s="236" customFormat="1" x14ac:dyDescent="0.3">
      <c r="A1028" s="276" t="s">
        <v>50</v>
      </c>
      <c r="B1028" s="272" t="s">
        <v>180</v>
      </c>
      <c r="C1028" s="75" t="s">
        <v>142</v>
      </c>
      <c r="D1028" s="68">
        <v>72</v>
      </c>
      <c r="E1028" s="76"/>
      <c r="F1028" s="131">
        <f>D1028*E1028</f>
        <v>0</v>
      </c>
    </row>
    <row r="1029" spans="1:6" s="236" customFormat="1" x14ac:dyDescent="0.3">
      <c r="A1029" s="276"/>
      <c r="B1029" s="272"/>
      <c r="C1029" s="75"/>
      <c r="D1029" s="68"/>
      <c r="E1029" s="75"/>
      <c r="F1029" s="277"/>
    </row>
    <row r="1030" spans="1:6" s="236" customFormat="1" x14ac:dyDescent="0.3">
      <c r="A1030" s="276" t="s">
        <v>51</v>
      </c>
      <c r="B1030" s="272" t="s">
        <v>180</v>
      </c>
      <c r="C1030" s="75" t="s">
        <v>142</v>
      </c>
      <c r="D1030" s="68">
        <v>72</v>
      </c>
      <c r="E1030" s="76"/>
      <c r="F1030" s="131">
        <f>D1030*E1030</f>
        <v>0</v>
      </c>
    </row>
    <row r="1031" spans="1:6" s="236" customFormat="1" x14ac:dyDescent="0.3">
      <c r="A1031" s="276"/>
      <c r="B1031" s="272"/>
      <c r="C1031" s="75"/>
      <c r="D1031" s="68"/>
      <c r="E1031" s="75"/>
      <c r="F1031" s="277"/>
    </row>
    <row r="1032" spans="1:6" s="236" customFormat="1" x14ac:dyDescent="0.3">
      <c r="A1032" s="276" t="s">
        <v>55</v>
      </c>
      <c r="B1032" s="299" t="s">
        <v>527</v>
      </c>
      <c r="C1032" s="76" t="s">
        <v>65</v>
      </c>
      <c r="D1032" s="76">
        <v>10</v>
      </c>
      <c r="E1032" s="76"/>
      <c r="F1032" s="131">
        <f>D1032*E1032</f>
        <v>0</v>
      </c>
    </row>
    <row r="1033" spans="1:6" s="236" customFormat="1" x14ac:dyDescent="0.3">
      <c r="A1033" s="276"/>
      <c r="B1033" s="292"/>
      <c r="C1033" s="80"/>
      <c r="D1033" s="68"/>
      <c r="E1033" s="75"/>
      <c r="F1033" s="277"/>
    </row>
    <row r="1034" spans="1:6" s="236" customFormat="1" x14ac:dyDescent="0.3">
      <c r="A1034" s="276" t="s">
        <v>70</v>
      </c>
      <c r="B1034" s="292" t="s">
        <v>528</v>
      </c>
      <c r="C1034" s="80" t="s">
        <v>61</v>
      </c>
      <c r="D1034" s="68">
        <v>96</v>
      </c>
      <c r="E1034" s="75"/>
      <c r="F1034" s="131">
        <f>D1034*E1034</f>
        <v>0</v>
      </c>
    </row>
    <row r="1035" spans="1:6" s="236" customFormat="1" x14ac:dyDescent="0.3">
      <c r="A1035" s="276"/>
      <c r="B1035" s="292"/>
      <c r="C1035" s="80"/>
      <c r="D1035" s="68"/>
      <c r="E1035" s="75"/>
      <c r="F1035" s="277"/>
    </row>
    <row r="1036" spans="1:6" s="236" customFormat="1" x14ac:dyDescent="0.3">
      <c r="A1036" s="276"/>
      <c r="B1036" s="89" t="s">
        <v>129</v>
      </c>
      <c r="C1036" s="80"/>
      <c r="D1036" s="68"/>
      <c r="E1036" s="75"/>
      <c r="F1036" s="277"/>
    </row>
    <row r="1037" spans="1:6" s="236" customFormat="1" x14ac:dyDescent="0.3">
      <c r="A1037" s="276"/>
      <c r="B1037" s="299"/>
      <c r="C1037" s="80"/>
      <c r="D1037" s="68"/>
      <c r="E1037" s="75"/>
      <c r="F1037" s="277"/>
    </row>
    <row r="1038" spans="1:6" s="236" customFormat="1" ht="41.4" x14ac:dyDescent="0.3">
      <c r="A1038" s="276" t="s">
        <v>60</v>
      </c>
      <c r="B1038" s="299" t="s">
        <v>131</v>
      </c>
      <c r="C1038" s="104" t="s">
        <v>61</v>
      </c>
      <c r="D1038" s="197">
        <v>16</v>
      </c>
      <c r="E1038" s="76"/>
      <c r="F1038" s="131">
        <f>D1038*E1038</f>
        <v>0</v>
      </c>
    </row>
    <row r="1039" spans="1:6" s="236" customFormat="1" x14ac:dyDescent="0.3">
      <c r="A1039" s="276"/>
      <c r="B1039" s="292"/>
      <c r="C1039" s="80"/>
      <c r="D1039" s="68"/>
      <c r="E1039" s="75"/>
      <c r="F1039" s="277"/>
    </row>
    <row r="1040" spans="1:6" s="236" customFormat="1" x14ac:dyDescent="0.3">
      <c r="A1040" s="276"/>
      <c r="B1040" s="103" t="s">
        <v>184</v>
      </c>
      <c r="C1040" s="80"/>
      <c r="D1040" s="68"/>
      <c r="E1040" s="75"/>
      <c r="F1040" s="277"/>
    </row>
    <row r="1041" spans="1:6" s="236" customFormat="1" x14ac:dyDescent="0.3">
      <c r="A1041" s="276"/>
      <c r="B1041" s="292"/>
      <c r="C1041" s="80"/>
      <c r="D1041" s="68"/>
      <c r="E1041" s="75"/>
      <c r="F1041" s="277"/>
    </row>
    <row r="1042" spans="1:6" s="236" customFormat="1" ht="55.8" x14ac:dyDescent="0.3">
      <c r="A1042" s="276"/>
      <c r="B1042" s="46" t="s">
        <v>185</v>
      </c>
      <c r="C1042" s="80"/>
      <c r="D1042" s="68"/>
      <c r="E1042" s="75"/>
      <c r="F1042" s="277"/>
    </row>
    <row r="1043" spans="1:6" s="236" customFormat="1" x14ac:dyDescent="0.3">
      <c r="A1043" s="276"/>
      <c r="B1043" s="292"/>
      <c r="C1043" s="80"/>
      <c r="D1043" s="68"/>
      <c r="E1043" s="75"/>
      <c r="F1043" s="277"/>
    </row>
    <row r="1044" spans="1:6" s="236" customFormat="1" x14ac:dyDescent="0.3">
      <c r="A1044" s="276" t="s">
        <v>90</v>
      </c>
      <c r="B1044" s="292" t="s">
        <v>186</v>
      </c>
      <c r="C1044" s="80" t="s">
        <v>142</v>
      </c>
      <c r="D1044" s="68">
        <v>1339</v>
      </c>
      <c r="E1044" s="75"/>
      <c r="F1044" s="131">
        <f>D1044*E1044</f>
        <v>0</v>
      </c>
    </row>
    <row r="1045" spans="1:6" s="266" customFormat="1" x14ac:dyDescent="0.3">
      <c r="A1045" s="276"/>
      <c r="B1045" s="292"/>
      <c r="C1045" s="80"/>
      <c r="D1045" s="68"/>
      <c r="E1045" s="75"/>
      <c r="F1045" s="277"/>
    </row>
    <row r="1046" spans="1:6" s="266" customFormat="1" x14ac:dyDescent="0.3">
      <c r="A1046" s="276"/>
      <c r="B1046" s="103" t="s">
        <v>529</v>
      </c>
      <c r="C1046" s="80"/>
      <c r="D1046" s="68"/>
      <c r="E1046" s="75"/>
      <c r="F1046" s="277"/>
    </row>
    <row r="1047" spans="1:6" s="266" customFormat="1" x14ac:dyDescent="0.3">
      <c r="A1047" s="276"/>
      <c r="B1047" s="292"/>
      <c r="C1047" s="80"/>
      <c r="D1047" s="68"/>
      <c r="E1047" s="75"/>
      <c r="F1047" s="277"/>
    </row>
    <row r="1048" spans="1:6" s="266" customFormat="1" ht="28.2" x14ac:dyDescent="0.3">
      <c r="A1048" s="276" t="s">
        <v>93</v>
      </c>
      <c r="B1048" s="292" t="s">
        <v>530</v>
      </c>
      <c r="C1048" s="80" t="s">
        <v>531</v>
      </c>
      <c r="D1048" s="68">
        <v>1</v>
      </c>
      <c r="E1048" s="75"/>
      <c r="F1048" s="131">
        <f>D1048*E1048</f>
        <v>0</v>
      </c>
    </row>
    <row r="1049" spans="1:6" s="236" customFormat="1" x14ac:dyDescent="0.3">
      <c r="A1049" s="276"/>
      <c r="B1049" s="272"/>
      <c r="C1049" s="75"/>
      <c r="D1049" s="68"/>
      <c r="E1049" s="75"/>
      <c r="F1049" s="277"/>
    </row>
    <row r="1050" spans="1:6" s="236" customFormat="1" x14ac:dyDescent="0.3">
      <c r="A1050" s="281"/>
      <c r="B1050" s="294" t="s">
        <v>191</v>
      </c>
      <c r="C1050" s="81"/>
      <c r="D1050" s="199"/>
      <c r="E1050" s="85" t="s">
        <v>43</v>
      </c>
      <c r="F1050" s="297">
        <f>SUM(F1015:F1048)</f>
        <v>0</v>
      </c>
    </row>
    <row r="1051" spans="1:6" s="236" customFormat="1" x14ac:dyDescent="0.3">
      <c r="A1051" s="310"/>
      <c r="B1051" s="311"/>
      <c r="C1051" s="285"/>
      <c r="D1051" s="285"/>
      <c r="E1051" s="72"/>
      <c r="F1051" s="312"/>
    </row>
    <row r="1052" spans="1:6" s="236" customFormat="1" x14ac:dyDescent="0.3">
      <c r="A1052" s="310"/>
      <c r="B1052" s="316" t="s">
        <v>496</v>
      </c>
      <c r="C1052" s="316"/>
      <c r="D1052" s="316"/>
      <c r="E1052" s="316"/>
      <c r="F1052" s="312"/>
    </row>
    <row r="1053" spans="1:6" s="236" customFormat="1" x14ac:dyDescent="0.3">
      <c r="A1053" s="310"/>
      <c r="B1053" s="311"/>
      <c r="C1053" s="285"/>
      <c r="D1053" s="285"/>
      <c r="E1053" s="72"/>
      <c r="F1053" s="312"/>
    </row>
    <row r="1054" spans="1:6" x14ac:dyDescent="0.3">
      <c r="A1054" s="310"/>
      <c r="B1054" s="316" t="s">
        <v>281</v>
      </c>
      <c r="C1054" s="316"/>
      <c r="D1054" s="316"/>
      <c r="E1054" s="316"/>
      <c r="F1054" s="312"/>
    </row>
    <row r="1055" spans="1:6" x14ac:dyDescent="0.3">
      <c r="A1055" s="313"/>
      <c r="B1055" s="298"/>
      <c r="C1055" s="286"/>
      <c r="D1055" s="286"/>
      <c r="E1055" s="79"/>
      <c r="F1055" s="314"/>
    </row>
    <row r="1056" spans="1:6" ht="27.6" x14ac:dyDescent="0.3">
      <c r="A1056" s="267" t="s">
        <v>0</v>
      </c>
      <c r="B1056" s="268" t="s">
        <v>1</v>
      </c>
      <c r="C1056" s="274"/>
      <c r="D1056" s="275"/>
      <c r="E1056" s="274"/>
      <c r="F1056" s="271" t="s">
        <v>5</v>
      </c>
    </row>
    <row r="1057" spans="1:6" x14ac:dyDescent="0.3">
      <c r="A1057" s="287"/>
      <c r="B1057" s="288"/>
      <c r="C1057" s="289"/>
      <c r="D1057" s="290"/>
      <c r="E1057" s="289"/>
      <c r="F1057" s="291"/>
    </row>
    <row r="1058" spans="1:6" x14ac:dyDescent="0.3">
      <c r="A1058" s="276">
        <v>1</v>
      </c>
      <c r="B1058" s="272" t="s">
        <v>56</v>
      </c>
      <c r="C1058" s="277"/>
      <c r="D1058" s="273"/>
      <c r="E1058" s="75"/>
      <c r="F1058" s="277">
        <f>F972</f>
        <v>0</v>
      </c>
    </row>
    <row r="1059" spans="1:6" x14ac:dyDescent="0.3">
      <c r="A1059" s="276"/>
      <c r="B1059" s="272"/>
      <c r="C1059" s="277"/>
      <c r="D1059" s="273"/>
      <c r="E1059" s="75"/>
      <c r="F1059" s="277"/>
    </row>
    <row r="1060" spans="1:6" x14ac:dyDescent="0.3">
      <c r="A1060" s="276">
        <v>2</v>
      </c>
      <c r="B1060" s="272" t="s">
        <v>57</v>
      </c>
      <c r="C1060" s="277"/>
      <c r="D1060" s="273"/>
      <c r="E1060" s="75"/>
      <c r="F1060" s="277">
        <f>F1010</f>
        <v>0</v>
      </c>
    </row>
    <row r="1061" spans="1:6" s="236" customFormat="1" x14ac:dyDescent="0.3">
      <c r="A1061" s="276"/>
      <c r="B1061" s="272"/>
      <c r="C1061" s="277"/>
      <c r="D1061" s="273"/>
      <c r="E1061" s="75"/>
      <c r="F1061" s="277"/>
    </row>
    <row r="1062" spans="1:6" s="236" customFormat="1" x14ac:dyDescent="0.3">
      <c r="A1062" s="276">
        <v>3</v>
      </c>
      <c r="B1062" s="272" t="s">
        <v>177</v>
      </c>
      <c r="C1062" s="277"/>
      <c r="D1062" s="273"/>
      <c r="E1062" s="75"/>
      <c r="F1062" s="277">
        <f>F1050</f>
        <v>0</v>
      </c>
    </row>
    <row r="1063" spans="1:6" s="236" customFormat="1" x14ac:dyDescent="0.3">
      <c r="A1063" s="276"/>
      <c r="B1063" s="272"/>
      <c r="C1063" s="277"/>
      <c r="D1063" s="273"/>
      <c r="E1063" s="75"/>
      <c r="F1063" s="277"/>
    </row>
    <row r="1064" spans="1:6" x14ac:dyDescent="0.3">
      <c r="A1064" s="276"/>
      <c r="B1064" s="272"/>
      <c r="C1064" s="277"/>
      <c r="D1064" s="273"/>
      <c r="E1064" s="75"/>
      <c r="F1064" s="277"/>
    </row>
    <row r="1065" spans="1:6" x14ac:dyDescent="0.3">
      <c r="A1065" s="281"/>
      <c r="B1065" s="187" t="s">
        <v>512</v>
      </c>
      <c r="C1065" s="295"/>
      <c r="D1065" s="295"/>
      <c r="E1065" s="85" t="s">
        <v>43</v>
      </c>
      <c r="F1065" s="297">
        <f>SUM(F1058:F1063)</f>
        <v>0</v>
      </c>
    </row>
    <row r="1066" spans="1:6" x14ac:dyDescent="0.3">
      <c r="A1066" s="306"/>
      <c r="B1066" s="307"/>
      <c r="C1066" s="308"/>
      <c r="D1066" s="308"/>
      <c r="E1066" s="308"/>
      <c r="F1066" s="309"/>
    </row>
    <row r="1067" spans="1:6" s="266" customFormat="1" x14ac:dyDescent="0.3">
      <c r="A1067" s="310"/>
      <c r="B1067" s="316" t="s">
        <v>534</v>
      </c>
      <c r="C1067" s="316"/>
      <c r="D1067" s="316"/>
      <c r="E1067" s="316"/>
      <c r="F1067" s="312"/>
    </row>
    <row r="1068" spans="1:6" x14ac:dyDescent="0.3">
      <c r="A1068" s="310"/>
      <c r="B1068" s="316" t="s">
        <v>274</v>
      </c>
      <c r="C1068" s="316"/>
      <c r="D1068" s="316"/>
      <c r="E1068" s="316"/>
      <c r="F1068" s="312"/>
    </row>
    <row r="1069" spans="1:6" x14ac:dyDescent="0.3">
      <c r="A1069" s="313"/>
      <c r="B1069" s="298"/>
      <c r="C1069" s="286"/>
      <c r="D1069" s="286"/>
      <c r="E1069" s="286"/>
      <c r="F1069" s="314"/>
    </row>
    <row r="1070" spans="1:6" x14ac:dyDescent="0.3">
      <c r="A1070" s="267"/>
      <c r="B1070" s="268"/>
      <c r="C1070" s="269"/>
      <c r="D1070" s="270"/>
      <c r="E1070" s="269"/>
      <c r="F1070" s="271" t="s">
        <v>5</v>
      </c>
    </row>
    <row r="1071" spans="1:6" x14ac:dyDescent="0.3">
      <c r="A1071" s="287"/>
      <c r="B1071" s="288"/>
      <c r="C1071" s="289"/>
      <c r="D1071" s="290"/>
      <c r="E1071" s="291"/>
      <c r="F1071" s="291"/>
    </row>
    <row r="1072" spans="1:6" x14ac:dyDescent="0.3">
      <c r="A1072" s="276">
        <v>1</v>
      </c>
      <c r="B1072" s="272" t="s">
        <v>514</v>
      </c>
      <c r="C1072" s="277"/>
      <c r="D1072" s="273"/>
      <c r="E1072" s="277"/>
      <c r="F1072" s="277">
        <f>F52</f>
        <v>0</v>
      </c>
    </row>
    <row r="1073" spans="1:6" x14ac:dyDescent="0.3">
      <c r="A1073" s="276"/>
      <c r="B1073" s="272"/>
      <c r="C1073" s="277"/>
      <c r="D1073" s="273"/>
      <c r="E1073" s="277"/>
      <c r="F1073" s="277"/>
    </row>
    <row r="1074" spans="1:6" x14ac:dyDescent="0.3">
      <c r="A1074" s="276">
        <v>2</v>
      </c>
      <c r="B1074" s="272" t="s">
        <v>515</v>
      </c>
      <c r="C1074" s="277"/>
      <c r="D1074" s="273"/>
      <c r="E1074" s="277"/>
      <c r="F1074" s="277">
        <f>F443</f>
        <v>0</v>
      </c>
    </row>
    <row r="1075" spans="1:6" x14ac:dyDescent="0.3">
      <c r="A1075" s="276"/>
      <c r="B1075" s="272"/>
      <c r="C1075" s="277"/>
      <c r="D1075" s="273"/>
      <c r="E1075" s="277"/>
      <c r="F1075" s="277"/>
    </row>
    <row r="1076" spans="1:6" x14ac:dyDescent="0.3">
      <c r="A1076" s="276">
        <v>3</v>
      </c>
      <c r="B1076" s="272" t="s">
        <v>516</v>
      </c>
      <c r="C1076" s="277"/>
      <c r="D1076" s="273"/>
      <c r="E1076" s="277"/>
      <c r="F1076" s="277">
        <f>F822</f>
        <v>0</v>
      </c>
    </row>
    <row r="1077" spans="1:6" s="266" customFormat="1" x14ac:dyDescent="0.3">
      <c r="A1077" s="276"/>
      <c r="B1077" s="272"/>
      <c r="C1077" s="277"/>
      <c r="D1077" s="273"/>
      <c r="E1077" s="277"/>
      <c r="F1077" s="277"/>
    </row>
    <row r="1078" spans="1:6" s="266" customFormat="1" x14ac:dyDescent="0.3">
      <c r="A1078" s="276">
        <v>4</v>
      </c>
      <c r="B1078" s="272" t="s">
        <v>517</v>
      </c>
      <c r="C1078" s="277"/>
      <c r="D1078" s="273"/>
      <c r="E1078" s="277"/>
      <c r="F1078" s="277">
        <f>F875</f>
        <v>0</v>
      </c>
    </row>
    <row r="1079" spans="1:6" s="266" customFormat="1" x14ac:dyDescent="0.3">
      <c r="A1079" s="276"/>
      <c r="B1079" s="272"/>
      <c r="C1079" s="277"/>
      <c r="D1079" s="273"/>
      <c r="E1079" s="277"/>
      <c r="F1079" s="277"/>
    </row>
    <row r="1080" spans="1:6" s="266" customFormat="1" x14ac:dyDescent="0.3">
      <c r="A1080" s="276">
        <v>5</v>
      </c>
      <c r="B1080" s="272" t="s">
        <v>518</v>
      </c>
      <c r="C1080" s="277"/>
      <c r="D1080" s="273"/>
      <c r="E1080" s="277"/>
      <c r="F1080" s="277">
        <f>F914</f>
        <v>0</v>
      </c>
    </row>
    <row r="1081" spans="1:6" s="266" customFormat="1" x14ac:dyDescent="0.3">
      <c r="A1081" s="276"/>
      <c r="B1081" s="272"/>
      <c r="C1081" s="277"/>
      <c r="D1081" s="273"/>
      <c r="E1081" s="277"/>
      <c r="F1081" s="277"/>
    </row>
    <row r="1082" spans="1:6" s="266" customFormat="1" x14ac:dyDescent="0.3">
      <c r="A1082" s="276">
        <v>6</v>
      </c>
      <c r="B1082" s="272" t="s">
        <v>519</v>
      </c>
      <c r="C1082" s="277"/>
      <c r="D1082" s="273"/>
      <c r="E1082" s="277"/>
      <c r="F1082" s="277">
        <f>F939</f>
        <v>0</v>
      </c>
    </row>
    <row r="1083" spans="1:6" x14ac:dyDescent="0.3">
      <c r="A1083" s="276"/>
      <c r="B1083" s="272"/>
      <c r="C1083" s="277"/>
      <c r="D1083" s="273"/>
      <c r="E1083" s="277"/>
      <c r="F1083" s="277"/>
    </row>
    <row r="1084" spans="1:6" x14ac:dyDescent="0.3">
      <c r="A1084" s="276">
        <v>7</v>
      </c>
      <c r="B1084" s="272" t="s">
        <v>520</v>
      </c>
      <c r="C1084" s="277"/>
      <c r="D1084" s="273"/>
      <c r="E1084" s="277"/>
      <c r="F1084" s="277">
        <f>F1065</f>
        <v>0</v>
      </c>
    </row>
    <row r="1085" spans="1:6" x14ac:dyDescent="0.3">
      <c r="A1085" s="276"/>
      <c r="B1085" s="272"/>
      <c r="C1085" s="277"/>
      <c r="D1085" s="273"/>
      <c r="E1085" s="277"/>
      <c r="F1085" s="277"/>
    </row>
    <row r="1086" spans="1:6" x14ac:dyDescent="0.3">
      <c r="A1086" s="281"/>
      <c r="B1086" s="294" t="s">
        <v>532</v>
      </c>
      <c r="C1086" s="295"/>
      <c r="D1086" s="296"/>
      <c r="E1086" s="297" t="s">
        <v>43</v>
      </c>
      <c r="F1086" s="297">
        <f>SUM(F1072:F1084)</f>
        <v>0</v>
      </c>
    </row>
  </sheetData>
  <mergeCells count="38">
    <mergeCell ref="B447:E447"/>
    <mergeCell ref="B3:E3"/>
    <mergeCell ref="B4:E4"/>
    <mergeCell ref="B5:E5"/>
    <mergeCell ref="B6:E6"/>
    <mergeCell ref="B54:E54"/>
    <mergeCell ref="B55:E55"/>
    <mergeCell ref="A444:F444"/>
    <mergeCell ref="B445:E445"/>
    <mergeCell ref="B446:E446"/>
    <mergeCell ref="B420:E420"/>
    <mergeCell ref="B2:E2"/>
    <mergeCell ref="B42:E42"/>
    <mergeCell ref="B43:E43"/>
    <mergeCell ref="B418:E418"/>
    <mergeCell ref="B419:E419"/>
    <mergeCell ref="B798:E798"/>
    <mergeCell ref="B799:E799"/>
    <mergeCell ref="A876:F876"/>
    <mergeCell ref="B877:E877"/>
    <mergeCell ref="B879:E879"/>
    <mergeCell ref="B825:E825"/>
    <mergeCell ref="A823:F823"/>
    <mergeCell ref="B824:E824"/>
    <mergeCell ref="B826:E826"/>
    <mergeCell ref="A915:F915"/>
    <mergeCell ref="B916:E916"/>
    <mergeCell ref="B918:E918"/>
    <mergeCell ref="B917:E917"/>
    <mergeCell ref="B878:E878"/>
    <mergeCell ref="B1068:E1068"/>
    <mergeCell ref="A940:F940"/>
    <mergeCell ref="B941:E941"/>
    <mergeCell ref="B942:E942"/>
    <mergeCell ref="B943:E943"/>
    <mergeCell ref="B1054:E1054"/>
    <mergeCell ref="B1052:E1052"/>
    <mergeCell ref="B1067:E1067"/>
  </mergeCells>
  <pageMargins left="0.7" right="0.7" top="0.75" bottom="0.75" header="0.3" footer="0.3"/>
  <pageSetup paperSize="9" scale="50" orientation="portrait" r:id="rId1"/>
  <rowBreaks count="21" manualBreakCount="21">
    <brk id="52" max="5" man="1"/>
    <brk id="160" max="5" man="1"/>
    <brk id="205" max="5" man="1"/>
    <brk id="259" max="16383" man="1"/>
    <brk id="311" max="5" man="1"/>
    <brk id="372" max="5" man="1"/>
    <brk id="416" max="5" man="1"/>
    <brk id="443" max="5" man="1"/>
    <brk id="487" max="16383" man="1"/>
    <brk id="528" max="5" man="1"/>
    <brk id="579" max="16383" man="1"/>
    <brk id="617" max="5" man="1"/>
    <brk id="703" max="5" man="1"/>
    <brk id="758" max="5" man="1"/>
    <brk id="796" max="5" man="1"/>
    <brk id="822" max="5" man="1"/>
    <brk id="875" max="5" man="1"/>
    <brk id="914" max="5" man="1"/>
    <brk id="939" max="5" man="1"/>
    <brk id="972" max="5" man="1"/>
    <brk id="1050"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BOQ DRIP &amp; FILTER STATION</vt:lpstr>
      <vt:lpstr>'BOQ DRIP &amp; FILTER STATION'!Print_Area</vt:lpstr>
    </vt:vector>
  </TitlesOfParts>
  <Company>Illovo Sugar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Santi Obe - Nakambala</dc:creator>
  <cp:lastModifiedBy>Emmanuel Santi Obe - Nakambala</cp:lastModifiedBy>
  <cp:lastPrinted>2025-07-18T07:10:48Z</cp:lastPrinted>
  <dcterms:created xsi:type="dcterms:W3CDTF">2024-08-25T11:36:53Z</dcterms:created>
  <dcterms:modified xsi:type="dcterms:W3CDTF">2025-12-09T09:03:01Z</dcterms:modified>
</cp:coreProperties>
</file>